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 - Estructura " sheetId="1" r:id="rId5"/>
    <sheet state="visible" name="Lista de Actividades e Hitos" sheetId="2" r:id="rId6"/>
    <sheet state="visible" name="Cronología" sheetId="3" r:id="rId7"/>
  </sheets>
  <definedNames>
    <definedName name="FECHA_FIN">LAMBDA(IF(OR('Diagrama de Gantt - Estructura '!$C$2="Hito",'Diagrama de Gantt - Estructura '!$G$2="",'Diagrama de Gantt - Estructura '!$D$2="",'Diagrama de Gantt - Estructura '!$E$2=""),"",IF('Diagrama de Gantt - Estructura '!$E$2="Días",'Diagrama de Gantt - Estructura '!$G$2+'Diagrama de Gantt - Estructura '!$D$2-1,IF('Diagrama de Gantt - Estructura '!$E$2="Semanas",'Diagrama de Gantt - Estructura '!$G$2+('Diagrama de Gantt - Estructura '!$D$2*7)-1,IF('Diagrama de Gantt - Estructura '!$E$2="Meses",EDATE('Diagrama de Gantt - Estructura '!$G$2,'Diagrama de Gantt - Estructura '!$D$2)-1,"")))))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0">
      <text>
        <t xml:space="preserve">Este campo no aplica a los Hitos.</t>
      </text>
    </comment>
    <comment authorId="0" ref="E90">
      <text>
        <t xml:space="preserve">Este campo no aplica a los Hitos.</t>
      </text>
    </comment>
    <comment authorId="0" ref="H90">
      <text>
        <t xml:space="preserve">Este campo no aplica a los Hitos.</t>
      </text>
    </comment>
    <comment authorId="0" ref="D146">
      <text>
        <t xml:space="preserve">Este campo no aplica a los Hitos.</t>
      </text>
    </comment>
    <comment authorId="0" ref="E146">
      <text>
        <t xml:space="preserve">Este campo no aplica a los Hitos.</t>
      </text>
    </comment>
    <comment authorId="0" ref="H146">
      <text>
        <t xml:space="preserve">Este campo no aplica a los Hitos.</t>
      </text>
    </comment>
    <comment authorId="0" ref="D72">
      <text>
        <t xml:space="preserve">Este campo no aplica a los Hitos.</t>
      </text>
    </comment>
    <comment authorId="0" ref="D136">
      <text>
        <t xml:space="preserve">Este campo no aplica a los Hitos.</t>
      </text>
    </comment>
    <comment authorId="0" ref="E72">
      <text>
        <t xml:space="preserve">Este campo no aplica a los Hitos.</t>
      </text>
    </comment>
    <comment authorId="0" ref="E136">
      <text>
        <t xml:space="preserve">Este campo no aplica a los Hitos.</t>
      </text>
    </comment>
    <comment authorId="0" ref="H72">
      <text>
        <t xml:space="preserve">Este campo no aplica a los Hitos.</t>
      </text>
    </comment>
    <comment authorId="0" ref="H136">
      <text>
        <t xml:space="preserve">Este campo no aplica a los Hitos.</t>
      </text>
    </comment>
    <comment authorId="0" ref="D124">
      <text>
        <t xml:space="preserve">Este campo no aplica a los Hitos.</t>
      </text>
    </comment>
    <comment authorId="0" ref="E124">
      <text>
        <t xml:space="preserve">Este campo no aplica a los Hitos.</t>
      </text>
    </comment>
    <comment authorId="0" ref="D58">
      <text>
        <t xml:space="preserve">Este campo no aplica a los Hitos.</t>
      </text>
    </comment>
    <comment authorId="0" ref="E58">
      <text>
        <t xml:space="preserve">Este campo no aplica a los Hitos.</t>
      </text>
    </comment>
    <comment authorId="0" ref="H124">
      <text>
        <t xml:space="preserve">Este campo no aplica a los Hitos.</t>
      </text>
    </comment>
    <comment authorId="0" ref="H58">
      <text>
        <t xml:space="preserve">Este campo no aplica a los Hitos.</t>
      </text>
    </comment>
    <comment authorId="0" ref="D112">
      <text>
        <t xml:space="preserve">Este campo no aplica a los Hitos.</t>
      </text>
    </comment>
    <comment authorId="0" ref="E112">
      <text>
        <t xml:space="preserve">Este campo no aplica a los Hitos.</t>
      </text>
    </comment>
    <comment authorId="0" ref="H112">
      <text>
        <t xml:space="preserve">Este campo no aplica a los Hitos.</t>
      </text>
    </comment>
    <comment authorId="0" ref="D42">
      <text>
        <t xml:space="preserve">Este campo no aplica a los Hitos.</t>
      </text>
    </comment>
    <comment authorId="0" ref="E42">
      <text>
        <t xml:space="preserve">Este campo no aplica a los Hitos.</t>
      </text>
    </comment>
    <comment authorId="0" ref="H42">
      <text>
        <t xml:space="preserve">Este campo no aplica a los Hitos.</t>
      </text>
    </comment>
  </commentList>
</comments>
</file>

<file path=xl/sharedStrings.xml><?xml version="1.0" encoding="utf-8"?>
<sst xmlns="http://schemas.openxmlformats.org/spreadsheetml/2006/main" count="1058" uniqueCount="461">
  <si>
    <t>ID</t>
  </si>
  <si>
    <t>Actividad/Hito</t>
  </si>
  <si>
    <t>WBS Nivel 2 / Tarea Nivel 3</t>
  </si>
  <si>
    <t>Entregable Asociado</t>
  </si>
  <si>
    <t>Tipo</t>
  </si>
  <si>
    <t>Duración (Valor)</t>
  </si>
  <si>
    <t>Fecha Prevista</t>
  </si>
  <si>
    <t>Unidad (Días/Semanas/Meses)</t>
  </si>
  <si>
    <t>Responsable</t>
  </si>
  <si>
    <t>Responsable / Equipo</t>
  </si>
  <si>
    <t>Estado</t>
  </si>
  <si>
    <t>29/08/2026</t>
  </si>
  <si>
    <t>Fecha Fin</t>
  </si>
  <si>
    <t>Dependencia</t>
  </si>
  <si>
    <t>Entregables Asociados</t>
  </si>
  <si>
    <t>INICIO Y PLANIFICACIÓN</t>
  </si>
  <si>
    <t>Entregable Nivel 2</t>
  </si>
  <si>
    <t>Días</t>
  </si>
  <si>
    <t>Ambos</t>
  </si>
  <si>
    <t>Completado</t>
  </si>
  <si>
    <t>—</t>
  </si>
  <si>
    <t>Base de planificación</t>
  </si>
  <si>
    <t>Definir metodología de trabajo</t>
  </si>
  <si>
    <t>Tarea Nivel 3</t>
  </si>
  <si>
    <t>Tú</t>
  </si>
  <si>
    <t>Metodología acordada</t>
  </si>
  <si>
    <t>Definir herramientas y repositorios</t>
  </si>
  <si>
    <t>Saul</t>
  </si>
  <si>
    <t>CC 1.1</t>
  </si>
  <si>
    <t>Herramientas configuradas</t>
  </si>
  <si>
    <t>Elaborar mapa de interesados</t>
  </si>
  <si>
    <t>FC 1.1</t>
  </si>
  <si>
    <t>Mapa de interesados</t>
  </si>
  <si>
    <t>Revisar propósito, objetivos y alcance</t>
  </si>
  <si>
    <t>Alcance validado</t>
  </si>
  <si>
    <t>Definir esquema de comunicación del equipo</t>
  </si>
  <si>
    <t>CC 1.3</t>
  </si>
  <si>
    <t>Esquema de comunicación</t>
  </si>
  <si>
    <t>Preparar estructura documental del proyecto</t>
  </si>
  <si>
    <t>CC 1.4</t>
  </si>
  <si>
    <t>Estructura documental</t>
  </si>
  <si>
    <t>Preparar ambiente inicial de desarrollo</t>
  </si>
  <si>
    <t>FC 1.2</t>
  </si>
  <si>
    <t>Entorno inicial</t>
  </si>
  <si>
    <t>Revisión de planificación inicial</t>
  </si>
  <si>
    <t>FF 1.5, 1.6, 1.7</t>
  </si>
  <si>
    <t>Planificación inicial</t>
  </si>
  <si>
    <t>REQUISITOS Y DISEÑO FUNCIONAL</t>
  </si>
  <si>
    <t>En Proceso</t>
  </si>
  <si>
    <t>FC 1.8</t>
  </si>
  <si>
    <t>Especificación funcional</t>
  </si>
  <si>
    <t>Levantamiento de requisitos funcionales</t>
  </si>
  <si>
    <t>Requisitos funcionales</t>
  </si>
  <si>
    <t>Levantamiento de requisitos no funcionales</t>
  </si>
  <si>
    <t>CC 2.1</t>
  </si>
  <si>
    <t>Requisitos no funcionales</t>
  </si>
  <si>
    <t>Definir reglas de negocio</t>
  </si>
  <si>
    <t>Reglas de negocio</t>
  </si>
  <si>
    <t>Definir flujo de registro de estudiantes</t>
  </si>
  <si>
    <t>Flujo de registro de estudiantes</t>
  </si>
  <si>
    <t>Definir flujo de creación de qr</t>
  </si>
  <si>
    <t>CC 2.3</t>
  </si>
  <si>
    <t>Flujo creación del QR</t>
  </si>
  <si>
    <t>Definir flujo de asistencia de estudiantes, docentes y personal administrativo</t>
  </si>
  <si>
    <t>FC 2.5</t>
  </si>
  <si>
    <t>Flujo de asistencia por tipo de usuario</t>
  </si>
  <si>
    <t>Definir flujo de incidencias y clasificacion de reportes</t>
  </si>
  <si>
    <t>CC 2.4</t>
  </si>
  <si>
    <t>Flujo de incidencias y clasificación</t>
  </si>
  <si>
    <t>Definir flujo y reglas de reportes escolares</t>
  </si>
  <si>
    <t>CC 2.7</t>
  </si>
  <si>
    <t>Flujo y reglas de reportes</t>
  </si>
  <si>
    <t>Definir flujo de comunicación con familiares a partir de reportes autorizados</t>
  </si>
  <si>
    <t>FC 2.3</t>
  </si>
  <si>
    <t>Flujo de comunicación</t>
  </si>
  <si>
    <t>2,10</t>
  </si>
  <si>
    <t>Elaborar historias de usuario</t>
  </si>
  <si>
    <t>FC 2.1, 2.3</t>
  </si>
  <si>
    <t>Historias de usuario</t>
  </si>
  <si>
    <t>Definir criterios de aceptación específicos</t>
  </si>
  <si>
    <t>FC 2.10</t>
  </si>
  <si>
    <t>Criterios de aceptación</t>
  </si>
  <si>
    <t>Validar requisitos con institución</t>
  </si>
  <si>
    <t>FC 2.11</t>
  </si>
  <si>
    <t>Requisitos aprobados</t>
  </si>
  <si>
    <t>BASE FUNCIONAL Y GENERACIÓN DE QR</t>
  </si>
  <si>
    <t>FC actividades H1</t>
  </si>
  <si>
    <t>Sistema QR funcional + códigos validados</t>
  </si>
  <si>
    <t>Diseñar arquitectura inicial</t>
  </si>
  <si>
    <t>FC 2.12</t>
  </si>
  <si>
    <t>Arquitectura inicial</t>
  </si>
  <si>
    <t>Diseñar modelo de datos inicial</t>
  </si>
  <si>
    <t>CC 3.1</t>
  </si>
  <si>
    <t>Modelo de datos</t>
  </si>
  <si>
    <t>Configurar proyecto Next.js/TypeScript</t>
  </si>
  <si>
    <t>FC 3.1</t>
  </si>
  <si>
    <t>Proyecto base</t>
  </si>
  <si>
    <t>Configurar PostgreSQL</t>
  </si>
  <si>
    <t>FC 3.2</t>
  </si>
  <si>
    <t>BD inicial</t>
  </si>
  <si>
    <t>Implementar backend/API base</t>
  </si>
  <si>
    <t>FC 3.3, 3.4</t>
  </si>
  <si>
    <t>API base</t>
  </si>
  <si>
    <t>Implementar modelo de estudiantes</t>
  </si>
  <si>
    <t>FC 3.4</t>
  </si>
  <si>
    <t>Modelo de estudiantes</t>
  </si>
  <si>
    <t>Implementar CRUD de estudiantes</t>
  </si>
  <si>
    <t>CC 3.6</t>
  </si>
  <si>
    <t>Gestión de estudiantes</t>
  </si>
  <si>
    <t>Implementar generación de QR</t>
  </si>
  <si>
    <t>FC 3.6</t>
  </si>
  <si>
    <t>Generador QR</t>
  </si>
  <si>
    <t>Asociar QR con estudiante</t>
  </si>
  <si>
    <t>FC 3.8</t>
  </si>
  <si>
    <t>Asociación QR</t>
  </si>
  <si>
    <t>Implementar validación de unicidad</t>
  </si>
  <si>
    <t>FC 3.9</t>
  </si>
  <si>
    <t>Validación de unicidad</t>
  </si>
  <si>
    <t>Implementar exportación de QR</t>
  </si>
  <si>
    <t>CC 3.8</t>
  </si>
  <si>
    <t>Archivos QR</t>
  </si>
  <si>
    <t>Pruebas de legibilidad</t>
  </si>
  <si>
    <t>Evidencias de lectura</t>
  </si>
  <si>
    <t>Pruebas de asociación y duplicados</t>
  </si>
  <si>
    <t>FC 3.10</t>
  </si>
  <si>
    <t>Evidencias de integridad</t>
  </si>
  <si>
    <t>Corrección de errores H01</t>
  </si>
  <si>
    <t>FC 3.12, 3.13</t>
  </si>
  <si>
    <t>Versión corregida</t>
  </si>
  <si>
    <t>Validación institucional QR</t>
  </si>
  <si>
    <t>FC 3.14</t>
  </si>
  <si>
    <t>Validación institucional</t>
  </si>
  <si>
    <t>Preparar lote inicial de códigos</t>
  </si>
  <si>
    <t>FC 3.15</t>
  </si>
  <si>
    <t>Lote QR</t>
  </si>
  <si>
    <t>Verificación final de KPI-01 a KPI-06</t>
  </si>
  <si>
    <t>FC 3.16</t>
  </si>
  <si>
    <t>Evidencias H01</t>
  </si>
  <si>
    <t>H01</t>
  </si>
  <si>
    <t>HITO 01 — Base funcional y generación de QR</t>
  </si>
  <si>
    <t>Hito</t>
  </si>
  <si>
    <t>No completado</t>
  </si>
  <si>
    <t>FC H1</t>
  </si>
  <si>
    <t>KPI-01 a KPI-06 validados</t>
  </si>
  <si>
    <t>4</t>
  </si>
  <si>
    <t>SERVIDOR LOCAL E INFRAESTRUCTURA INSTITUCIONAL</t>
  </si>
  <si>
    <t>Meses</t>
  </si>
  <si>
    <t>No Iniciado</t>
  </si>
  <si>
    <t>Infraestructura local operativa</t>
  </si>
  <si>
    <t>4.1</t>
  </si>
  <si>
    <t>Levantar especificaciones del equipo servidor</t>
  </si>
  <si>
    <t>Especificaciones documentadas</t>
  </si>
  <si>
    <t>4.2</t>
  </si>
  <si>
    <t>Verificar conectividad de red institucional</t>
  </si>
  <si>
    <t>Conectividad validada</t>
  </si>
  <si>
    <t>4.3</t>
  </si>
  <si>
    <t>Definir arquitectura de despliegue local</t>
  </si>
  <si>
    <t>Arquitectura de despliegue</t>
  </si>
  <si>
    <t>4.4</t>
  </si>
  <si>
    <t>Preparar sistema operativo del servidor</t>
  </si>
  <si>
    <t>Entorno preparado</t>
  </si>
  <si>
    <t>4.5</t>
  </si>
  <si>
    <t>Configurar PostgreSQL en servidor local</t>
  </si>
  <si>
    <t>BD local operativa</t>
  </si>
  <si>
    <t>4.6</t>
  </si>
  <si>
    <t>Configurar backend/API en servidor</t>
  </si>
  <si>
    <t>Backend local operativo</t>
  </si>
  <si>
    <t>4.7</t>
  </si>
  <si>
    <t>Configurar frontend web para red local</t>
  </si>
  <si>
    <t>Web LAN operativa</t>
  </si>
  <si>
    <t>4.8</t>
  </si>
  <si>
    <t>Integrar aplicación móvil con servidor local</t>
  </si>
  <si>
    <t>App conectada a LAN</t>
  </si>
  <si>
    <t>4.9</t>
  </si>
  <si>
    <t>Configurar control de acceso al servidor</t>
  </si>
  <si>
    <t>Acceso controlado</t>
  </si>
  <si>
    <t>4.10</t>
  </si>
  <si>
    <t>Configurar respaldos automáticos</t>
  </si>
  <si>
    <t>Sistema de respaldos</t>
  </si>
  <si>
    <t>4.11</t>
  </si>
  <si>
    <t>Probar recuperación de respaldos</t>
  </si>
  <si>
    <t>Recuperación validada</t>
  </si>
  <si>
    <t>4.12</t>
  </si>
  <si>
    <t>Probar operación sin Internet</t>
  </si>
  <si>
    <t>Operación LAN validada</t>
  </si>
  <si>
    <t>4.13</t>
  </si>
  <si>
    <t>Documentar instalación y recuperación del servidor</t>
  </si>
  <si>
    <t>Documentación técnica</t>
  </si>
  <si>
    <t>4.14</t>
  </si>
  <si>
    <t>Verificación de KPI-29 a KPI-34</t>
  </si>
  <si>
    <t>Evidencias H05</t>
  </si>
  <si>
    <t>H05</t>
  </si>
  <si>
    <t>HITO 05 — Servidor local e infraestructura institucional</t>
  </si>
  <si>
    <t>KPI-29 a KPI-34 validados</t>
  </si>
  <si>
    <t>5</t>
  </si>
  <si>
    <t>SISTEMA WEB INTEGRADO</t>
  </si>
  <si>
    <t>Semanas</t>
  </si>
  <si>
    <t>Plataforma web integrada</t>
  </si>
  <si>
    <t>5.1</t>
  </si>
  <si>
    <t>Diseñar autenticación</t>
  </si>
  <si>
    <t>FC 4.1</t>
  </si>
  <si>
    <t>Diseño de autenticación</t>
  </si>
  <si>
    <t>5.2</t>
  </si>
  <si>
    <t>Implementar autenticación</t>
  </si>
  <si>
    <t>FC 4.2</t>
  </si>
  <si>
    <t>Login funcional</t>
  </si>
  <si>
    <t>5.3</t>
  </si>
  <si>
    <t>Implementar roles y permisos</t>
  </si>
  <si>
    <t>CC 4.3</t>
  </si>
  <si>
    <t>Control de acceso</t>
  </si>
  <si>
    <t>5.4</t>
  </si>
  <si>
    <t>Diseñar modelo de familiares</t>
  </si>
  <si>
    <t>FC 4.4</t>
  </si>
  <si>
    <t>Modelo familiares</t>
  </si>
  <si>
    <t>5.5</t>
  </si>
  <si>
    <t>Implementar familiares</t>
  </si>
  <si>
    <t>Gestión familiares</t>
  </si>
  <si>
    <t>5.6</t>
  </si>
  <si>
    <t>Diseñar panel administrativo</t>
  </si>
  <si>
    <t>FC 4.6</t>
  </si>
  <si>
    <t>Diseño panel</t>
  </si>
  <si>
    <t>5.7</t>
  </si>
  <si>
    <t>Implementar panel administrativo</t>
  </si>
  <si>
    <t>FC 4.3, 4.5, 4.7</t>
  </si>
  <si>
    <t>Panel funcional</t>
  </si>
  <si>
    <t>5.8</t>
  </si>
  <si>
    <t>Integrar estudiantes, usuarios y familiares</t>
  </si>
  <si>
    <t>FC 4.8</t>
  </si>
  <si>
    <t>Sistema integrado</t>
  </si>
  <si>
    <t>5.9</t>
  </si>
  <si>
    <t>Pruebas de integración web</t>
  </si>
  <si>
    <t>FC 4.9</t>
  </si>
  <si>
    <t>Evidencias web</t>
  </si>
  <si>
    <t>5.10</t>
  </si>
  <si>
    <t>Correcciones H02</t>
  </si>
  <si>
    <t>FC 4.10</t>
  </si>
  <si>
    <t>5.11</t>
  </si>
  <si>
    <t>Verificación de KPI-07 a KPI-11</t>
  </si>
  <si>
    <t>FC H2</t>
  </si>
  <si>
    <t>Evidencias H02</t>
  </si>
  <si>
    <t>5.12</t>
  </si>
  <si>
    <t>Validación final del sistema web</t>
  </si>
  <si>
    <t>Web validada</t>
  </si>
  <si>
    <t>H02</t>
  </si>
  <si>
    <t>HITO 02 — Sistema web integrado</t>
  </si>
  <si>
    <t>FC 5.1</t>
  </si>
  <si>
    <t>KPI-07 a KPI-11 validados</t>
  </si>
  <si>
    <t>6</t>
  </si>
  <si>
    <t>BACKEND, API Y CONTROL DE ASISTENCIA</t>
  </si>
  <si>
    <t>FC 5.2</t>
  </si>
  <si>
    <t>Sistema de asistencia funcional</t>
  </si>
  <si>
    <t>6.1</t>
  </si>
  <si>
    <t>Diseñar modelo de asistencia diaria por grupo</t>
  </si>
  <si>
    <t>FC 5.3</t>
  </si>
  <si>
    <t>Modelo de asistencia</t>
  </si>
  <si>
    <t>6.2</t>
  </si>
  <si>
    <t>Definir estados de asistencia</t>
  </si>
  <si>
    <t>Reglas de estados</t>
  </si>
  <si>
    <t>6.3</t>
  </si>
  <si>
    <t>Implementar modelo de asistencia</t>
  </si>
  <si>
    <t>Tablas/modelos</t>
  </si>
  <si>
    <t>6.4</t>
  </si>
  <si>
    <t>Implementar registro de asistencia mediante QR</t>
  </si>
  <si>
    <t>FC 5.4, 5.5, 5.6</t>
  </si>
  <si>
    <t>Registro de asistencia</t>
  </si>
  <si>
    <t>6.5</t>
  </si>
  <si>
    <t>Implementar identificación automática de estudiante y grupo</t>
  </si>
  <si>
    <t>FC 5.7</t>
  </si>
  <si>
    <t>Asociación estudiante-grupo</t>
  </si>
  <si>
    <t>6.6</t>
  </si>
  <si>
    <t>Implementar reglas de duplicados</t>
  </si>
  <si>
    <t>FC 5.7, 5.8</t>
  </si>
  <si>
    <t>Control de duplicados</t>
  </si>
  <si>
    <t>6.7</t>
  </si>
  <si>
    <t>Implementar estados asistió, falta y llegada tarde</t>
  </si>
  <si>
    <t>Estados de asistencia</t>
  </si>
  <si>
    <t>6.8</t>
  </si>
  <si>
    <t>Implementar registro diario por grupo</t>
  </si>
  <si>
    <t>Registro diario</t>
  </si>
  <si>
    <t>6.9</t>
  </si>
  <si>
    <t>Implementar consulta de asistencia por grupo y fecha</t>
  </si>
  <si>
    <t>Consulta grupal</t>
  </si>
  <si>
    <t>6.10</t>
  </si>
  <si>
    <t>Implementar consulta histórica individual</t>
  </si>
  <si>
    <t>Historial estudiante</t>
  </si>
  <si>
    <t>6.11</t>
  </si>
  <si>
    <t>Integrar registro de asistencia con API</t>
  </si>
  <si>
    <t>API asistencia</t>
  </si>
  <si>
    <t>6.12</t>
  </si>
  <si>
    <t>Pruebas funcionales de asistencia</t>
  </si>
  <si>
    <t>Evidencias</t>
  </si>
  <si>
    <t>6.13</t>
  </si>
  <si>
    <t>Pruebas de lectura y rendimiento</t>
  </si>
  <si>
    <t>Resultados lectura</t>
  </si>
  <si>
    <t>6.14</t>
  </si>
  <si>
    <t>Correcciones del módulo de asistencia</t>
  </si>
  <si>
    <t>FC 5.9</t>
  </si>
  <si>
    <t>6.15</t>
  </si>
  <si>
    <t>Validación de asistencia con institución</t>
  </si>
  <si>
    <t>FC H3</t>
  </si>
  <si>
    <t>6.16</t>
  </si>
  <si>
    <t>Verificación de KPI-12 a KPI-18</t>
  </si>
  <si>
    <t>Evidencias H03</t>
  </si>
  <si>
    <t>H03</t>
  </si>
  <si>
    <t>HITO 03 — Backend, API y control de asistencia</t>
  </si>
  <si>
    <t>CC 6.1</t>
  </si>
  <si>
    <t>KPI-12 a KPI-18 validados</t>
  </si>
  <si>
    <t>7</t>
  </si>
  <si>
    <t>APLICACIÓN MÓVIL</t>
  </si>
  <si>
    <t>Aplicación móvil integrada con SIGE</t>
  </si>
  <si>
    <t>7.1</t>
  </si>
  <si>
    <t>Definir arquitectura de la aplicación móvil</t>
  </si>
  <si>
    <t>FC 6.2, 6.3</t>
  </si>
  <si>
    <t>Arquitectura móvil</t>
  </si>
  <si>
    <t>7.2</t>
  </si>
  <si>
    <t>Definir navegación y estructura de pantallas</t>
  </si>
  <si>
    <t>FC 6.4</t>
  </si>
  <si>
    <t>Flujo UX móvil</t>
  </si>
  <si>
    <t>7.3</t>
  </si>
  <si>
    <t>Configurar proyecto móvil</t>
  </si>
  <si>
    <t>CC 6.5</t>
  </si>
  <si>
    <t>Proyecto móvil base</t>
  </si>
  <si>
    <t>7.4</t>
  </si>
  <si>
    <t>Integrar autenticación</t>
  </si>
  <si>
    <t>FC 6.4, 6.5, 6.6</t>
  </si>
  <si>
    <t>Autenticación móvil</t>
  </si>
  <si>
    <t>7.5</t>
  </si>
  <si>
    <t>Integrar comunicación con API</t>
  </si>
  <si>
    <t>FC 6.7</t>
  </si>
  <si>
    <t>Cliente API</t>
  </si>
  <si>
    <t>7.6</t>
  </si>
  <si>
    <t>Implementar permisos por rol</t>
  </si>
  <si>
    <t>FC 6.8</t>
  </si>
  <si>
    <t>Control de acceso móvil</t>
  </si>
  <si>
    <t>7.7</t>
  </si>
  <si>
    <t>Implementar lector QR móvil</t>
  </si>
  <si>
    <t>Escáner QR</t>
  </si>
  <si>
    <t>7.8</t>
  </si>
  <si>
    <t>Asistencia móvil</t>
  </si>
  <si>
    <t>7.9</t>
  </si>
  <si>
    <t>Implementar confirmación del registro</t>
  </si>
  <si>
    <t>Confirmación asistencia</t>
  </si>
  <si>
    <t>7.10</t>
  </si>
  <si>
    <t>Pruebas de integración QR-API-DB</t>
  </si>
  <si>
    <t>Integración validada</t>
  </si>
  <si>
    <t>7.11</t>
  </si>
  <si>
    <t>Corrección del flujo de asistencia móvil</t>
  </si>
  <si>
    <t>Versión móvil v1</t>
  </si>
  <si>
    <t>7.12</t>
  </si>
  <si>
    <t>Diseñar módulo móvil de reportes</t>
  </si>
  <si>
    <t>Diseño reportes móvil</t>
  </si>
  <si>
    <t>7.13</t>
  </si>
  <si>
    <t>Implementar registro de reportes docente</t>
  </si>
  <si>
    <t>Reportes desde móvil</t>
  </si>
  <si>
    <t>7.14</t>
  </si>
  <si>
    <t>Implementar consulta de reportes para prefectos</t>
  </si>
  <si>
    <t>Bandeja prefectura</t>
  </si>
  <si>
    <t>7.15</t>
  </si>
  <si>
    <t>Implementar filtros de reportes</t>
  </si>
  <si>
    <t>Filtros móviles</t>
  </si>
  <si>
    <t>7.16</t>
  </si>
  <si>
    <t>Implementar canalización hacia administración</t>
  </si>
  <si>
    <t>Flujo prefecto-administración</t>
  </si>
  <si>
    <t>7.17</t>
  </si>
  <si>
    <t>Integrar trazabilidad de reportes</t>
  </si>
  <si>
    <t>Historial del reporte</t>
  </si>
  <si>
    <t>7.18</t>
  </si>
  <si>
    <t>Pruebas funcionales de aplicación móvil</t>
  </si>
  <si>
    <t>Evidencias móviles</t>
  </si>
  <si>
    <t>7.19</t>
  </si>
  <si>
    <t>Pruebas en dispositivos representativos</t>
  </si>
  <si>
    <t>Compatibilidad móvil</t>
  </si>
  <si>
    <t>7.20</t>
  </si>
  <si>
    <t>Correcciones de aplicación móvil</t>
  </si>
  <si>
    <t>Versión candidata</t>
  </si>
  <si>
    <t>H04</t>
  </si>
  <si>
    <t>HITO 04 — Aplicación móvil operativa</t>
  </si>
  <si>
    <t>KPI-19 a KPI-28 validados</t>
  </si>
  <si>
    <t>INTEGRACIÓN Y OPERACIÓN PILOTO</t>
  </si>
  <si>
    <t>Operación piloto integrada</t>
  </si>
  <si>
    <t>Diseñar plan de pruebas con usuarios</t>
  </si>
  <si>
    <t>Plan piloto</t>
  </si>
  <si>
    <t>Preparar datos y escenarios de prueba</t>
  </si>
  <si>
    <t>Datos de prueba</t>
  </si>
  <si>
    <t>Preparar instrumentos de usabilidad</t>
  </si>
  <si>
    <t>Instrumentos</t>
  </si>
  <si>
    <t>Ejecutar pruebas con estudiantes</t>
  </si>
  <si>
    <t>Resultados estudiantes</t>
  </si>
  <si>
    <t>Ejecutar pruebas con personal escolar</t>
  </si>
  <si>
    <t>Resultados personal</t>
  </si>
  <si>
    <t>Simular jornadas de asistencia</t>
  </si>
  <si>
    <t>Evidencia piloto</t>
  </si>
  <si>
    <t>Analizar resultados y retroalimentación</t>
  </si>
  <si>
    <t>Informe de resultados</t>
  </si>
  <si>
    <t>Corregir problemas detectados</t>
  </si>
  <si>
    <t>Segunda ronda de validación</t>
  </si>
  <si>
    <t>Segunda validación</t>
  </si>
  <si>
    <t>Verificar operación con pérdida de Internet</t>
  </si>
  <si>
    <t>Evidencia de continuidad</t>
  </si>
  <si>
    <t>H06</t>
  </si>
  <si>
    <t>HITO 06 — Integración y operación piloto</t>
  </si>
  <si>
    <t>KPI-35 a KPI-44 validados</t>
  </si>
  <si>
    <t>VALIDACIÓN INTEGRAL Y CALIDAD FINAL</t>
  </si>
  <si>
    <t>Plataforma integral validada</t>
  </si>
  <si>
    <t>Integración final de módulos</t>
  </si>
  <si>
    <t>Plataforma integrada</t>
  </si>
  <si>
    <t>Ejecutar pruebas end-to-end</t>
  </si>
  <si>
    <t>FC 6.9</t>
  </si>
  <si>
    <t>Evidencias E2E</t>
  </si>
  <si>
    <t>Ejecutar pruebas de regresión</t>
  </si>
  <si>
    <t>FC H4</t>
  </si>
  <si>
    <t>Evidencias de regresión</t>
  </si>
  <si>
    <t>Validar flujo de reportes</t>
  </si>
  <si>
    <t>Flujo de reportes validado</t>
  </si>
  <si>
    <t>Validar comunicación por correo electrónico</t>
  </si>
  <si>
    <t>FC 7.1</t>
  </si>
  <si>
    <t>Comunicación validada</t>
  </si>
  <si>
    <t>Validar historial y control de asistencia</t>
  </si>
  <si>
    <t>FC 7.2</t>
  </si>
  <si>
    <t>Asistencia validada</t>
  </si>
  <si>
    <t>Validar roles, permisos y trazabilidad</t>
  </si>
  <si>
    <t>FC 7.3</t>
  </si>
  <si>
    <t>Seguridad funcional validada</t>
  </si>
  <si>
    <t>Correcciones de integración</t>
  </si>
  <si>
    <t>Verificación final de KPIs</t>
  </si>
  <si>
    <t>FC 7.5</t>
  </si>
  <si>
    <t>Matriz KPI validada</t>
  </si>
  <si>
    <t>Preparar versión candidata a entrega</t>
  </si>
  <si>
    <t>Release candidate</t>
  </si>
  <si>
    <t>H07</t>
  </si>
  <si>
    <t>HITO 07 — Plataforma integral validada</t>
  </si>
  <si>
    <t>FC 7.7</t>
  </si>
  <si>
    <t>KPI-45 a KPI-64 validados</t>
  </si>
  <si>
    <t>PREPARACIÓN PARA OPERACIÓN Y ENTREGA</t>
  </si>
  <si>
    <t>FC 7.8</t>
  </si>
  <si>
    <t>Versión final entregable</t>
  </si>
  <si>
    <t>Validar respaldos y recuperación finales</t>
  </si>
  <si>
    <t>FC 7.9</t>
  </si>
  <si>
    <t>Evidencia final</t>
  </si>
  <si>
    <t>Completar documentación técnica</t>
  </si>
  <si>
    <t>FC 7.2, 7.4, 7.6, 7.10</t>
  </si>
  <si>
    <t>Documentación técnica final</t>
  </si>
  <si>
    <t>Completar manual de usuario</t>
  </si>
  <si>
    <t>FC 7.11</t>
  </si>
  <si>
    <t>Manual de usuario</t>
  </si>
  <si>
    <t>Documentar pruebas y evidencias</t>
  </si>
  <si>
    <t>FC 7.12</t>
  </si>
  <si>
    <t>Expediente de pruebas</t>
  </si>
  <si>
    <t>Preparar entorno definitivo de operación</t>
  </si>
  <si>
    <t>FC 7.13</t>
  </si>
  <si>
    <t>Capacitación inicial</t>
  </si>
  <si>
    <t>FC H5</t>
  </si>
  <si>
    <t>Registro de capacitación</t>
  </si>
  <si>
    <t>Demostración integral y aceptación</t>
  </si>
  <si>
    <t>Sistema demostrado</t>
  </si>
  <si>
    <t>Preparar acta de entrega y cierre</t>
  </si>
  <si>
    <t>Acta de entrega</t>
  </si>
  <si>
    <t>H08</t>
  </si>
  <si>
    <t>HITO 08 — Preparación para operación y entrega</t>
  </si>
  <si>
    <t>FC 8.2</t>
  </si>
  <si>
    <t>KPI-65 a KPI-71 validados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</si>
</sst>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yyyy-mm-dd"/>
    <numFmt numFmtId="166" formatCode="mm/dd/yyyy"/>
    <numFmt numFmtId="167" formatCode="m/d/yyyy"/>
    <numFmt numFmtId="168" formatCode="d/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color rgb="FF888888"/>
      <name val="Arial"/>
    </font>
    <font>
      <color rgb="FF888888"/>
      <name val="Arial"/>
      <scheme val="minor"/>
    </font>
    <font>
      <color rgb="FF2A3243"/>
      <name val="Roboto"/>
    </font>
    <font>
      <color theme="1"/>
      <name val="Roboto"/>
    </font>
    <font>
      <color rgb="FF4C535E"/>
      <name val="Roboto"/>
    </font>
    <font>
      <color rgb="FF2C481F"/>
      <name val="Roboto"/>
    </font>
    <font>
      <color rgb="FF215A6C"/>
      <name val="Roboto"/>
    </font>
    <font>
      <color rgb="FF434343"/>
      <name val="Arial"/>
    </font>
    <font>
      <color rgb="FF434343"/>
      <name val="Roboto"/>
    </font>
    <font>
      <color rgb="FF888888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168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7" xfId="0" applyAlignment="1" applyFont="1" applyNumberFormat="1">
      <alignment horizontal="right" readingOrder="0" shrinkToFit="0" vertical="bottom" wrapText="0"/>
    </xf>
    <xf borderId="0" fillId="0" fontId="2" numFmtId="168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center" wrapText="0"/>
    </xf>
    <xf borderId="0" fillId="2" fontId="5" numFmtId="165" xfId="0" applyAlignment="1" applyFill="1" applyFont="1" applyNumberFormat="1">
      <alignment readingOrder="0" shrinkToFit="0" vertical="center" wrapText="0"/>
    </xf>
    <xf borderId="1" fillId="3" fontId="6" numFmtId="0" xfId="0" applyAlignment="1" applyBorder="1" applyFill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2" numFmtId="49" xfId="0" applyAlignment="1" applyFont="1" applyNumberFormat="1">
      <alignment horizontal="center" shrinkToFit="0" vertical="bottom" wrapText="0"/>
    </xf>
    <xf borderId="1" fillId="3" fontId="6" numFmtId="0" xfId="0" applyAlignment="1" applyBorder="1" applyFill="1" applyFont="1">
      <alignment shrinkToFit="0" vertical="center" wrapText="0"/>
    </xf>
    <xf borderId="1" fillId="3" fontId="8" numFmtId="0" xfId="0" applyAlignment="1" applyBorder="1" applyFill="1" applyFont="1">
      <alignment shrinkToFit="0" vertical="center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vertical="bottom"/>
    </xf>
    <xf borderId="0" fillId="2" fontId="4" numFmtId="0" xfId="0" applyAlignment="1" applyFill="1" applyFont="1">
      <alignment shrinkToFit="0" vertical="bottom" wrapText="0"/>
    </xf>
    <xf borderId="0" fillId="2" fontId="5" numFmtId="0" xfId="0" applyAlignment="1" applyFill="1" applyFont="1">
      <alignment readingOrder="0" shrinkToFit="0" vertical="center" wrapText="0"/>
    </xf>
    <xf borderId="0" fillId="0" fontId="2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/>
    </xf>
    <xf borderId="2" fillId="4" fontId="9" numFmtId="0" xfId="0" applyAlignment="1" applyBorder="1" applyFill="1" applyFont="1">
      <alignment readingOrder="0" shrinkToFit="0" vertical="center" wrapText="0"/>
    </xf>
    <xf borderId="2" fillId="0" fontId="7" numFmtId="0" xfId="0" applyAlignment="1" applyBorder="1" applyFont="1">
      <alignment shrinkToFit="0" vertical="center" wrapText="0"/>
    </xf>
    <xf borderId="2" fillId="0" fontId="7" numFmtId="165" xfId="0" applyAlignment="1" applyBorder="1" applyFont="1" applyNumberFormat="1">
      <alignment horizontal="right" shrinkToFit="0" vertical="center" wrapText="0"/>
    </xf>
    <xf borderId="2" fillId="4" fontId="10" numFmtId="0" xfId="0" applyAlignment="1" applyBorder="1" applyFill="1" applyFont="1">
      <alignment shrinkToFit="0" vertical="center" wrapText="0"/>
    </xf>
    <xf borderId="2" fillId="4" fontId="1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1" fillId="3" fontId="12" numFmtId="165" xfId="0" applyAlignment="1" applyBorder="1" applyFill="1" applyFont="1" applyNumberFormat="1">
      <alignment horizontal="right" shrinkToFit="0" vertical="center" wrapText="0"/>
    </xf>
    <xf borderId="1" fillId="3" fontId="10" numFmtId="0" xfId="0" applyAlignment="1" applyBorder="1" applyFill="1" applyFont="1">
      <alignment shrinkToFit="0" vertical="center" wrapText="0"/>
    </xf>
    <xf borderId="1" fillId="3" fontId="11" numFmtId="0" xfId="0" applyAlignment="1" applyBorder="1" applyFill="1" applyFont="1">
      <alignment horizontal="center" shrinkToFit="0" vertical="bottom" wrapText="0"/>
    </xf>
    <xf borderId="2" fillId="4" fontId="6" numFmtId="0" xfId="0" applyAlignment="1" applyBorder="1" applyFill="1" applyFont="1">
      <alignment readingOrder="0" shrinkToFit="0" vertical="center" wrapText="0"/>
    </xf>
    <xf borderId="2" fillId="2" fontId="13" numFmtId="0" xfId="0" applyAlignment="1" applyBorder="1" applyFill="1" applyFont="1">
      <alignment readingOrder="0" shrinkToFit="0" vertical="center" wrapText="0"/>
    </xf>
    <xf borderId="2" fillId="2" fontId="13" numFmtId="165" xfId="0" applyAlignment="1" applyBorder="1" applyFill="1" applyFont="1" applyNumberFormat="1">
      <alignment horizontal="right" shrinkToFit="0" vertical="center" wrapText="0"/>
    </xf>
    <xf borderId="2" fillId="4" fontId="10" numFmtId="0" xfId="0" applyAlignment="1" applyBorder="1" applyFill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165" xfId="0" applyAlignment="1" applyBorder="1" applyFont="1" applyNumberFormat="1">
      <alignment horizontal="right" shrinkToFit="0" vertical="center" wrapText="0"/>
    </xf>
    <xf borderId="2" fillId="4" fontId="6" numFmtId="0" xfId="0" applyAlignment="1" applyBorder="1" applyFill="1" applyFont="1">
      <alignment shrinkToFit="0" vertical="center" wrapText="0"/>
    </xf>
    <xf borderId="2" fillId="4" fontId="8" numFmtId="0" xfId="0" applyAlignment="1" applyBorder="1" applyFill="1" applyFont="1">
      <alignment shrinkToFit="0" vertical="center" wrapText="0"/>
    </xf>
    <xf borderId="2" fillId="4" fontId="12" numFmtId="165" xfId="0" applyAlignment="1" applyBorder="1" applyFill="1" applyFont="1" applyNumberFormat="1">
      <alignment horizontal="right" shrinkToFit="0" vertical="center" wrapText="0"/>
    </xf>
    <xf borderId="2" fillId="0" fontId="2" numFmtId="165" xfId="0" applyAlignment="1" applyBorder="1" applyFont="1" applyNumberFormat="1">
      <alignment shrinkToFit="0" vertical="center" wrapText="0"/>
    </xf>
    <xf borderId="2" fillId="4" fontId="2" numFmtId="49" xfId="0" applyAlignment="1" applyBorder="1" applyFill="1" applyFont="1" applyNumberFormat="1">
      <alignment shrinkToFit="0" vertical="bottom" wrapText="0"/>
    </xf>
    <xf borderId="1" fillId="3" fontId="2" numFmtId="165" xfId="0" applyAlignment="1" applyBorder="1" applyFill="1" applyFont="1" applyNumberFormat="1">
      <alignment shrinkToFit="0" vertical="center" wrapText="0"/>
    </xf>
    <xf borderId="1" fillId="3" fontId="2" numFmtId="49" xfId="0" applyAlignment="1" applyBorder="1" applyFill="1" applyFont="1" applyNumberFormat="1">
      <alignment shrinkToFit="0" vertical="bottom" wrapText="0"/>
    </xf>
    <xf borderId="2" fillId="4" fontId="2" numFmtId="165" xfId="0" applyAlignment="1" applyBorder="1" applyFill="1" applyFont="1" applyNumberFormat="1">
      <alignment shrinkToFit="0" vertical="center" wrapText="0"/>
    </xf>
    <xf borderId="1" fillId="2" fontId="13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  <tableStyles count="3">
    <tableStyle count="4" pivot="0" name="Lista de Actividades e Hi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grama de Gantt - Estructura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iagrama de Gantt - Estructura 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013661890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46" displayName="Tabla_1" name="Tabla_1" id="2">
  <tableColumns count="11">
    <tableColumn name="ID" id="1"/>
    <tableColumn name="WBS Nivel 2 / Tarea Nivel 3" id="2"/>
    <tableColumn name="Tipo" id="3"/>
    <tableColumn name="Duración (Valor)" id="4"/>
    <tableColumn name="Unidad (Días/Semanas/Meses)" id="5"/>
    <tableColumn name="Responsable / Equipo" id="6"/>
    <tableColumn name="29/08/2026" id="7"/>
    <tableColumn name="Fecha Fin" id="8"/>
    <tableColumn name="Estado" id="9"/>
    <tableColumn name="Dependencia" id="10"/>
    <tableColumn name="Entregables Asociados" id="11"/>
  </tableColumns>
  <tableStyleInfo name="Diagrama de Gantt - Estructura -style" showColumnStripes="0" showFirstColumn="1" showLastColumn="1" showRowStripes="1"/>
</table>
</file>

<file path=xl/tables/table2.xml><?xml version="1.0" encoding="utf-8"?>
<table xmlns="http://schemas.openxmlformats.org/spreadsheetml/2006/main" headerRowCount="0" ref="N53:N68" displayName="Table_1" name="Table_1" id="3">
  <tableColumns count="1">
    <tableColumn name="Column1" id="1"/>
  </tableColumns>
  <tableStyleInfo name="Diagrama de Gantt - Estructura -style 2" showColumnStripes="0" showFirstColumn="1" showLastColumn="1" showRowStripes="1"/>
</table>
</file>

<file path=xl/tables/table3.xml><?xml version="1.0" encoding="utf-8"?>
<table xmlns="http://schemas.openxmlformats.org/spreadsheetml/2006/main" ref="A1:G138" displayName="Tabla_2" name="Tabla_2" id="1">
  <tableColumns count="7">
    <tableColumn name="ID" id="1"/>
    <tableColumn name="Actividad/Hito" id="2"/>
    <tableColumn name="Entregable Asociado" id="3"/>
    <tableColumn name="Fecha Prevista" id="4"/>
    <tableColumn name="Responsable" id="5"/>
    <tableColumn name="Estado" id="6"/>
    <tableColumn name="Tipo" id="7"/>
  </tableColumns>
  <tableStyleInfo name="Lista de Actividades e Hi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7.63"/>
    <col customWidth="1" min="3" max="3" width="19.25"/>
    <col customWidth="1" min="4" max="4" width="20.75"/>
    <col customWidth="1" min="5" max="5" width="32.0"/>
    <col customWidth="1" min="6" max="6" width="29.0"/>
    <col customWidth="1" min="7" max="7" width="17.63"/>
    <col customWidth="1" min="8" max="8" width="15.88"/>
    <col customWidth="1" min="9" max="9" width="15.0"/>
    <col customWidth="1" min="10" max="10" width="21.13"/>
    <col customWidth="1" min="11" max="11" width="23.88"/>
  </cols>
  <sheetData>
    <row r="1" ht="22.5" customHeight="1">
      <c r="A1" s="1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3" t="s">
        <v>9</v>
      </c>
      <c r="G1" s="2" t="s">
        <v>11</v>
      </c>
      <c r="H1" s="2" t="s">
        <v>12</v>
      </c>
      <c r="I1" s="2" t="s">
        <v>10</v>
      </c>
      <c r="J1" s="2" t="s">
        <v>13</v>
      </c>
      <c r="K1" s="4" t="s">
        <v>14</v>
      </c>
    </row>
    <row r="2" ht="22.5" customHeight="1">
      <c r="A2" s="5">
        <v>1.0</v>
      </c>
      <c r="B2" s="6" t="s">
        <v>15</v>
      </c>
      <c r="C2" s="7" t="s">
        <v>16</v>
      </c>
      <c r="D2" s="9">
        <v>9.0</v>
      </c>
      <c r="E2" s="7" t="s">
        <v>17</v>
      </c>
      <c r="F2" s="11" t="s">
        <v>18</v>
      </c>
      <c r="G2" s="12">
        <v>46263.0</v>
      </c>
      <c r="H2" s="15">
        <f>IF(OR(C2="Hito",G2="",D2="",E2=""),"",IF(E2="Días",G2+D2-1,IF(E2="Semanas",G2+(D2*7)-1,IF(E2="Meses",EDATE(G2,D2)-1,""))))</f>
        <v>46271</v>
      </c>
      <c r="I2" s="7" t="s">
        <v>19</v>
      </c>
      <c r="J2" s="16" t="s">
        <v>20</v>
      </c>
      <c r="K2" s="17" t="s">
        <v>21</v>
      </c>
    </row>
    <row r="3" ht="22.5" customHeight="1">
      <c r="A3" s="5">
        <v>1.1</v>
      </c>
      <c r="B3" s="6" t="s">
        <v>22</v>
      </c>
      <c r="C3" s="7" t="s">
        <v>23</v>
      </c>
      <c r="D3" s="9">
        <v>1.0</v>
      </c>
      <c r="E3" s="7" t="s">
        <v>17</v>
      </c>
      <c r="F3" s="11" t="s">
        <v>24</v>
      </c>
      <c r="G3" s="12">
        <v>46263.0</v>
      </c>
      <c r="H3" s="15">
        <f t="shared" ref="H3:H4" si="1">IF(OR(C3="Hito",G3="",D3="",E3=""),"",IF(E3="Días",G3+D3-1,IF(E3="Semanas",G3+(D3*7)-1,IF(E3="Meses",EDATE(G3,D3)-1,""))))</f>
        <v>46263</v>
      </c>
      <c r="I3" s="7" t="s">
        <v>19</v>
      </c>
      <c r="J3" s="16" t="s">
        <v>20</v>
      </c>
      <c r="K3" s="17" t="s">
        <v>25</v>
      </c>
    </row>
    <row r="4" ht="22.5" customHeight="1">
      <c r="A4" s="5">
        <v>1.2</v>
      </c>
      <c r="B4" s="6" t="s">
        <v>26</v>
      </c>
      <c r="C4" s="7" t="s">
        <v>23</v>
      </c>
      <c r="D4" s="9">
        <v>1.0</v>
      </c>
      <c r="E4" s="7" t="s">
        <v>17</v>
      </c>
      <c r="F4" s="11" t="s">
        <v>27</v>
      </c>
      <c r="G4" s="12">
        <v>46265.0</v>
      </c>
      <c r="H4" s="15">
        <f t="shared" si="1"/>
        <v>46265</v>
      </c>
      <c r="I4" s="7" t="s">
        <v>19</v>
      </c>
      <c r="J4" s="16" t="s">
        <v>28</v>
      </c>
      <c r="K4" s="17" t="s">
        <v>29</v>
      </c>
    </row>
    <row r="5" ht="22.5" customHeight="1">
      <c r="A5" s="5">
        <v>1.3</v>
      </c>
      <c r="B5" s="6" t="s">
        <v>30</v>
      </c>
      <c r="C5" s="7" t="s">
        <v>23</v>
      </c>
      <c r="D5" s="9">
        <v>1.0</v>
      </c>
      <c r="E5" s="7" t="s">
        <v>17</v>
      </c>
      <c r="F5" s="11" t="s">
        <v>24</v>
      </c>
      <c r="G5" s="12">
        <v>46265.0</v>
      </c>
      <c r="H5" s="15">
        <f>IF(OR(C5="Hito",G5="",D5="",E5=""),"",IF(E5="Días",G5+D5-1,IF(E5="Semanas",G5+(D5*7)-1,IF(E5="Meses",EDATE(G5,D5)-1,""))))</f>
        <v>46265</v>
      </c>
      <c r="I5" s="7" t="s">
        <v>19</v>
      </c>
      <c r="J5" s="16" t="s">
        <v>31</v>
      </c>
      <c r="K5" s="17" t="s">
        <v>32</v>
      </c>
    </row>
    <row r="6" ht="22.5" customHeight="1">
      <c r="A6" s="5">
        <v>1.4</v>
      </c>
      <c r="B6" s="6" t="s">
        <v>33</v>
      </c>
      <c r="C6" s="7" t="s">
        <v>23</v>
      </c>
      <c r="D6" s="9">
        <v>1.0</v>
      </c>
      <c r="E6" s="7" t="s">
        <v>17</v>
      </c>
      <c r="F6" s="11" t="s">
        <v>18</v>
      </c>
      <c r="G6" s="12">
        <v>46266.0</v>
      </c>
      <c r="H6" s="15">
        <f>IF(OR(C6="Hito",G6="",D6="",E6=""),"",IF(E6="Días",G6+D6-1,IF(E6="Semanas",G6+(D6*7)-1,IF(E6="Meses",EDATE(G6,D6)-1,""))))</f>
        <v>46266</v>
      </c>
      <c r="I6" s="7" t="s">
        <v>19</v>
      </c>
      <c r="J6" s="16" t="s">
        <v>31</v>
      </c>
      <c r="K6" s="17" t="s">
        <v>34</v>
      </c>
    </row>
    <row r="7" ht="22.5" customHeight="1">
      <c r="A7" s="5">
        <v>1.5</v>
      </c>
      <c r="B7" s="6" t="s">
        <v>35</v>
      </c>
      <c r="C7" s="7" t="s">
        <v>23</v>
      </c>
      <c r="D7" s="9">
        <v>1.0</v>
      </c>
      <c r="E7" s="7" t="s">
        <v>17</v>
      </c>
      <c r="F7" s="11" t="s">
        <v>27</v>
      </c>
      <c r="G7" s="12">
        <v>46266.0</v>
      </c>
      <c r="H7" s="15">
        <f>IF(OR(C7="Hito",G7="",D7="",E7=""),"",IF(E7="Días",G7+D7-1,IF(E7="Semanas",G7+(D7*7)-1,IF(E7="Meses",EDATE(G7,D7)-1,""))))</f>
        <v>46266</v>
      </c>
      <c r="I7" s="7" t="s">
        <v>19</v>
      </c>
      <c r="J7" s="16" t="s">
        <v>36</v>
      </c>
      <c r="K7" s="17" t="s">
        <v>37</v>
      </c>
    </row>
    <row r="8" ht="22.5" customHeight="1">
      <c r="A8" s="5">
        <v>1.6</v>
      </c>
      <c r="B8" s="6" t="s">
        <v>38</v>
      </c>
      <c r="C8" s="7" t="s">
        <v>23</v>
      </c>
      <c r="D8" s="9">
        <v>1.0</v>
      </c>
      <c r="E8" s="7" t="s">
        <v>17</v>
      </c>
      <c r="F8" s="11" t="s">
        <v>24</v>
      </c>
      <c r="G8" s="12">
        <v>46267.0</v>
      </c>
      <c r="H8" s="15">
        <f t="shared" ref="H8:H13" si="2">IF(OR(C8="Hito",G8="",D8="",E8=""),"",IF(E8="Días",G8+D8-1,IF(E8="Semanas",G8+(D8*7)-1,IF(E8="Meses",EDATE(G8,D8)-1,""))))</f>
        <v>46267</v>
      </c>
      <c r="I8" s="7" t="s">
        <v>19</v>
      </c>
      <c r="J8" s="16" t="s">
        <v>39</v>
      </c>
      <c r="K8" s="17" t="s">
        <v>40</v>
      </c>
    </row>
    <row r="9" ht="22.5" customHeight="1">
      <c r="A9" s="5">
        <v>1.7</v>
      </c>
      <c r="B9" s="6" t="s">
        <v>41</v>
      </c>
      <c r="C9" s="7" t="s">
        <v>23</v>
      </c>
      <c r="D9" s="9">
        <v>2.0</v>
      </c>
      <c r="E9" s="7" t="s">
        <v>17</v>
      </c>
      <c r="F9" s="11" t="s">
        <v>27</v>
      </c>
      <c r="G9" s="12">
        <v>46268.0</v>
      </c>
      <c r="H9" s="15">
        <f t="shared" si="2"/>
        <v>46269</v>
      </c>
      <c r="I9" s="7" t="s">
        <v>19</v>
      </c>
      <c r="J9" s="16" t="s">
        <v>42</v>
      </c>
      <c r="K9" s="17" t="s">
        <v>43</v>
      </c>
    </row>
    <row r="10" ht="22.5" customHeight="1">
      <c r="A10" s="5">
        <v>1.8</v>
      </c>
      <c r="B10" s="6" t="s">
        <v>44</v>
      </c>
      <c r="C10" s="7" t="s">
        <v>23</v>
      </c>
      <c r="D10" s="9">
        <v>1.0</v>
      </c>
      <c r="E10" s="7" t="s">
        <v>17</v>
      </c>
      <c r="F10" s="11" t="s">
        <v>18</v>
      </c>
      <c r="G10" s="12">
        <v>46268.0</v>
      </c>
      <c r="H10" s="15">
        <f t="shared" si="2"/>
        <v>46268</v>
      </c>
      <c r="I10" s="7" t="s">
        <v>19</v>
      </c>
      <c r="J10" s="16" t="s">
        <v>45</v>
      </c>
      <c r="K10" s="17" t="s">
        <v>46</v>
      </c>
    </row>
    <row r="11" ht="22.5" customHeight="1">
      <c r="A11" s="5">
        <v>2.0</v>
      </c>
      <c r="B11" s="6" t="s">
        <v>47</v>
      </c>
      <c r="C11" s="7" t="s">
        <v>16</v>
      </c>
      <c r="D11" s="9">
        <v>16.0</v>
      </c>
      <c r="E11" s="7" t="s">
        <v>17</v>
      </c>
      <c r="F11" s="11" t="s">
        <v>18</v>
      </c>
      <c r="G11" s="12">
        <v>46269.0</v>
      </c>
      <c r="H11" s="15">
        <f t="shared" si="2"/>
        <v>46284</v>
      </c>
      <c r="I11" s="7" t="s">
        <v>48</v>
      </c>
      <c r="J11" s="16" t="s">
        <v>49</v>
      </c>
      <c r="K11" s="17" t="s">
        <v>50</v>
      </c>
    </row>
    <row r="12" ht="22.5" customHeight="1">
      <c r="A12" s="5">
        <v>2.1</v>
      </c>
      <c r="B12" s="6" t="s">
        <v>51</v>
      </c>
      <c r="C12" s="7" t="s">
        <v>23</v>
      </c>
      <c r="D12" s="9">
        <v>3.0</v>
      </c>
      <c r="E12" s="7" t="s">
        <v>17</v>
      </c>
      <c r="F12" s="11" t="s">
        <v>24</v>
      </c>
      <c r="G12" s="12">
        <v>46269.0</v>
      </c>
      <c r="H12" s="15">
        <f t="shared" si="2"/>
        <v>46271</v>
      </c>
      <c r="I12" s="7" t="s">
        <v>19</v>
      </c>
      <c r="J12" s="16" t="s">
        <v>49</v>
      </c>
      <c r="K12" s="17" t="s">
        <v>52</v>
      </c>
    </row>
    <row r="13" ht="22.5" customHeight="1">
      <c r="A13" s="5">
        <v>2.2</v>
      </c>
      <c r="B13" s="6" t="s">
        <v>53</v>
      </c>
      <c r="C13" s="7" t="s">
        <v>23</v>
      </c>
      <c r="D13" s="9">
        <v>3.0</v>
      </c>
      <c r="E13" s="7" t="s">
        <v>17</v>
      </c>
      <c r="F13" s="11" t="s">
        <v>27</v>
      </c>
      <c r="G13" s="12">
        <v>46269.0</v>
      </c>
      <c r="H13" s="15">
        <f t="shared" si="2"/>
        <v>46271</v>
      </c>
      <c r="I13" s="7" t="s">
        <v>19</v>
      </c>
      <c r="J13" s="16" t="s">
        <v>54</v>
      </c>
      <c r="K13" s="17" t="s">
        <v>55</v>
      </c>
    </row>
    <row r="14" ht="22.5" customHeight="1">
      <c r="A14" s="5">
        <v>2.3</v>
      </c>
      <c r="B14" s="6" t="s">
        <v>56</v>
      </c>
      <c r="C14" s="7" t="s">
        <v>23</v>
      </c>
      <c r="D14" s="9">
        <v>2.0</v>
      </c>
      <c r="E14" s="7" t="s">
        <v>17</v>
      </c>
      <c r="F14" s="11" t="s">
        <v>18</v>
      </c>
      <c r="G14" s="12">
        <v>46272.0</v>
      </c>
      <c r="H14" s="15">
        <f>IF(OR(C14="Hito",G14="",D14="",E14=""),"",IF(E14="Días",G14+D14-1,IF(E14="Semanas",G14+(D14*7)-1,IF(E14="Meses",EDATE(G14,D14)-1,""))))</f>
        <v>46273</v>
      </c>
      <c r="I14" s="7" t="s">
        <v>19</v>
      </c>
      <c r="J14" s="16" t="s">
        <v>54</v>
      </c>
      <c r="K14" s="17" t="s">
        <v>57</v>
      </c>
    </row>
    <row r="15" ht="22.5" customHeight="1">
      <c r="A15" s="5">
        <v>2.4</v>
      </c>
      <c r="B15" s="19" t="s">
        <v>58</v>
      </c>
      <c r="C15" s="7" t="s">
        <v>23</v>
      </c>
      <c r="D15" s="9">
        <v>1.0</v>
      </c>
      <c r="E15" s="7" t="s">
        <v>17</v>
      </c>
      <c r="F15" s="11" t="s">
        <v>24</v>
      </c>
      <c r="G15" s="12">
        <v>46273.0</v>
      </c>
      <c r="H15" s="15">
        <f t="shared" ref="H15:H23" si="3">IF(OR(C15="Hito",G15="",D15="",E15=""),"",IF(E15="Días",G15+D15-1,IF(E15="Semanas",G15+(D15*7)-1,IF(E15="Meses",EDATE(G15,D15)-1,""))))</f>
        <v>46273</v>
      </c>
      <c r="I15" s="7" t="s">
        <v>19</v>
      </c>
      <c r="J15" s="16" t="s">
        <v>54</v>
      </c>
      <c r="K15" s="19" t="s">
        <v>59</v>
      </c>
    </row>
    <row r="16" ht="22.5" customHeight="1">
      <c r="A16" s="5">
        <v>2.5</v>
      </c>
      <c r="B16" s="19" t="s">
        <v>60</v>
      </c>
      <c r="C16" s="7" t="s">
        <v>23</v>
      </c>
      <c r="D16" s="9">
        <v>2.0</v>
      </c>
      <c r="E16" s="7" t="s">
        <v>17</v>
      </c>
      <c r="F16" s="11" t="s">
        <v>27</v>
      </c>
      <c r="G16" s="12">
        <v>46273.0</v>
      </c>
      <c r="H16" s="15">
        <f t="shared" si="3"/>
        <v>46274</v>
      </c>
      <c r="I16" s="7" t="s">
        <v>19</v>
      </c>
      <c r="J16" s="16" t="s">
        <v>61</v>
      </c>
      <c r="K16" s="19" t="s">
        <v>62</v>
      </c>
    </row>
    <row r="17" ht="22.5" customHeight="1">
      <c r="A17" s="5">
        <v>2.6</v>
      </c>
      <c r="B17" s="19" t="s">
        <v>63</v>
      </c>
      <c r="C17" s="7" t="s">
        <v>23</v>
      </c>
      <c r="D17" s="9">
        <v>2.0</v>
      </c>
      <c r="E17" s="7" t="s">
        <v>17</v>
      </c>
      <c r="F17" s="11" t="s">
        <v>27</v>
      </c>
      <c r="G17" s="12">
        <v>46274.0</v>
      </c>
      <c r="H17" s="15">
        <f t="shared" si="3"/>
        <v>46275</v>
      </c>
      <c r="I17" s="7" t="s">
        <v>19</v>
      </c>
      <c r="J17" s="16" t="s">
        <v>64</v>
      </c>
      <c r="K17" s="19" t="s">
        <v>65</v>
      </c>
    </row>
    <row r="18" ht="22.5" customHeight="1">
      <c r="A18" s="5">
        <v>2.7</v>
      </c>
      <c r="B18" s="19" t="s">
        <v>66</v>
      </c>
      <c r="C18" s="7" t="s">
        <v>23</v>
      </c>
      <c r="D18" s="9">
        <v>2.0</v>
      </c>
      <c r="E18" s="7" t="s">
        <v>17</v>
      </c>
      <c r="F18" s="11" t="s">
        <v>24</v>
      </c>
      <c r="G18" s="12">
        <v>46275.0</v>
      </c>
      <c r="H18" s="15">
        <f t="shared" si="3"/>
        <v>46276</v>
      </c>
      <c r="I18" s="7" t="s">
        <v>19</v>
      </c>
      <c r="J18" s="16" t="s">
        <v>67</v>
      </c>
      <c r="K18" s="19" t="s">
        <v>68</v>
      </c>
    </row>
    <row r="19" ht="22.5" customHeight="1">
      <c r="A19" s="5">
        <v>2.8</v>
      </c>
      <c r="B19" s="19" t="s">
        <v>69</v>
      </c>
      <c r="C19" s="7" t="s">
        <v>23</v>
      </c>
      <c r="D19" s="9">
        <v>3.0</v>
      </c>
      <c r="E19" s="7" t="s">
        <v>17</v>
      </c>
      <c r="F19" s="11" t="s">
        <v>24</v>
      </c>
      <c r="G19" s="12">
        <v>46276.0</v>
      </c>
      <c r="H19" s="15">
        <f t="shared" si="3"/>
        <v>46278</v>
      </c>
      <c r="I19" s="7" t="s">
        <v>19</v>
      </c>
      <c r="J19" s="16" t="s">
        <v>70</v>
      </c>
      <c r="K19" s="19" t="s">
        <v>71</v>
      </c>
    </row>
    <row r="20" ht="22.5" customHeight="1">
      <c r="A20" s="5">
        <v>2.9</v>
      </c>
      <c r="B20" s="19" t="s">
        <v>72</v>
      </c>
      <c r="C20" s="7" t="s">
        <v>23</v>
      </c>
      <c r="D20" s="9">
        <v>2.0</v>
      </c>
      <c r="E20" s="7" t="s">
        <v>17</v>
      </c>
      <c r="F20" s="11" t="s">
        <v>27</v>
      </c>
      <c r="G20" s="12">
        <v>46278.0</v>
      </c>
      <c r="H20" s="15">
        <f t="shared" si="3"/>
        <v>46279</v>
      </c>
      <c r="I20" s="7" t="s">
        <v>19</v>
      </c>
      <c r="J20" s="16" t="s">
        <v>73</v>
      </c>
      <c r="K20" s="17" t="s">
        <v>74</v>
      </c>
    </row>
    <row r="21" ht="22.5" customHeight="1">
      <c r="A21" s="21" t="s">
        <v>75</v>
      </c>
      <c r="B21" s="6" t="s">
        <v>76</v>
      </c>
      <c r="C21" s="7" t="s">
        <v>23</v>
      </c>
      <c r="D21" s="9">
        <v>3.0</v>
      </c>
      <c r="E21" s="7" t="s">
        <v>17</v>
      </c>
      <c r="F21" s="11" t="s">
        <v>24</v>
      </c>
      <c r="G21" s="12">
        <v>46280.0</v>
      </c>
      <c r="H21" s="15">
        <f t="shared" si="3"/>
        <v>46282</v>
      </c>
      <c r="I21" s="7" t="s">
        <v>48</v>
      </c>
      <c r="J21" s="16" t="s">
        <v>77</v>
      </c>
      <c r="K21" s="17" t="s">
        <v>78</v>
      </c>
    </row>
    <row r="22" ht="22.5" customHeight="1">
      <c r="A22" s="5">
        <v>2.11</v>
      </c>
      <c r="B22" s="6" t="s">
        <v>79</v>
      </c>
      <c r="C22" s="7" t="s">
        <v>23</v>
      </c>
      <c r="D22" s="9">
        <v>2.0</v>
      </c>
      <c r="E22" s="7" t="s">
        <v>17</v>
      </c>
      <c r="F22" s="11" t="s">
        <v>18</v>
      </c>
      <c r="G22" s="12">
        <v>46283.0</v>
      </c>
      <c r="H22" s="15">
        <f t="shared" si="3"/>
        <v>46284</v>
      </c>
      <c r="I22" s="7" t="s">
        <v>48</v>
      </c>
      <c r="J22" s="16" t="s">
        <v>80</v>
      </c>
      <c r="K22" s="17" t="s">
        <v>81</v>
      </c>
    </row>
    <row r="23" ht="22.5" customHeight="1">
      <c r="A23" s="5">
        <v>2.12</v>
      </c>
      <c r="B23" s="6" t="s">
        <v>82</v>
      </c>
      <c r="C23" s="7" t="s">
        <v>23</v>
      </c>
      <c r="D23" s="9">
        <v>2.0</v>
      </c>
      <c r="E23" s="7" t="s">
        <v>17</v>
      </c>
      <c r="F23" s="11" t="s">
        <v>18</v>
      </c>
      <c r="G23" s="12">
        <v>46284.0</v>
      </c>
      <c r="H23" s="15">
        <f t="shared" si="3"/>
        <v>46285</v>
      </c>
      <c r="I23" s="7" t="s">
        <v>19</v>
      </c>
      <c r="J23" s="16" t="s">
        <v>83</v>
      </c>
      <c r="K23" s="17" t="s">
        <v>84</v>
      </c>
    </row>
    <row r="24" ht="22.5" customHeight="1">
      <c r="A24" s="5">
        <v>3.0</v>
      </c>
      <c r="B24" s="6" t="s">
        <v>85</v>
      </c>
      <c r="C24" s="7" t="s">
        <v>16</v>
      </c>
      <c r="D24" s="23">
        <v>25.0</v>
      </c>
      <c r="E24" s="7" t="s">
        <v>17</v>
      </c>
      <c r="F24" s="24" t="s">
        <v>18</v>
      </c>
      <c r="G24" s="26">
        <v>46286.0</v>
      </c>
      <c r="H24" s="15">
        <f t="shared" ref="H24:H25" si="4">IF(OR(C24="Hito",G24="",D24="",E24=""),"",IF(E24="Días",G24+D24-1,IF(E24="Semanas",G24+(D24*7)-1,IF(E24="Meses",EDATE(G24,D24)-1,""))))</f>
        <v>46310</v>
      </c>
      <c r="I24" s="7" t="s">
        <v>48</v>
      </c>
      <c r="J24" s="16" t="s">
        <v>86</v>
      </c>
      <c r="K24" s="17" t="s">
        <v>87</v>
      </c>
    </row>
    <row r="25" ht="22.5" customHeight="1">
      <c r="A25" s="5">
        <v>3.1</v>
      </c>
      <c r="B25" s="6" t="s">
        <v>88</v>
      </c>
      <c r="C25" s="7" t="s">
        <v>23</v>
      </c>
      <c r="D25" s="23">
        <v>2.0</v>
      </c>
      <c r="E25" s="7" t="s">
        <v>17</v>
      </c>
      <c r="F25" s="24" t="s">
        <v>27</v>
      </c>
      <c r="G25" s="27">
        <v>46287.0</v>
      </c>
      <c r="H25" s="15">
        <f t="shared" si="4"/>
        <v>46288</v>
      </c>
      <c r="I25" s="7" t="s">
        <v>48</v>
      </c>
      <c r="J25" s="16" t="s">
        <v>89</v>
      </c>
      <c r="K25" s="17" t="s">
        <v>90</v>
      </c>
    </row>
    <row r="26" ht="22.5" customHeight="1">
      <c r="A26" s="5">
        <v>3.2</v>
      </c>
      <c r="B26" s="6" t="s">
        <v>91</v>
      </c>
      <c r="C26" s="7" t="s">
        <v>23</v>
      </c>
      <c r="D26" s="23">
        <v>2.0</v>
      </c>
      <c r="E26" s="7" t="s">
        <v>17</v>
      </c>
      <c r="F26" s="24" t="s">
        <v>27</v>
      </c>
      <c r="G26" s="27">
        <v>46287.0</v>
      </c>
      <c r="H26" s="28">
        <f t="shared" ref="H26:H41" si="5">IF(OR(C26="Hito",G26="",D26="",E26=""),"",IF(E26="Días",G26+D26-1,IF(E26="Semanas",G26+(D26*7)-1,IF(E26="Meses",EDATE(G26,D26)-1,""))))</f>
        <v>46288</v>
      </c>
      <c r="I26" s="7" t="s">
        <v>48</v>
      </c>
      <c r="J26" s="16" t="s">
        <v>92</v>
      </c>
      <c r="K26" s="17" t="s">
        <v>93</v>
      </c>
    </row>
    <row r="27" ht="22.5" customHeight="1">
      <c r="A27" s="5">
        <v>3.3</v>
      </c>
      <c r="B27" s="6" t="s">
        <v>94</v>
      </c>
      <c r="C27" s="7" t="s">
        <v>23</v>
      </c>
      <c r="D27" s="23">
        <v>2.0</v>
      </c>
      <c r="E27" s="7" t="s">
        <v>17</v>
      </c>
      <c r="F27" s="24" t="s">
        <v>27</v>
      </c>
      <c r="G27" s="27">
        <v>46289.0</v>
      </c>
      <c r="H27" s="28">
        <f t="shared" si="5"/>
        <v>46290</v>
      </c>
      <c r="I27" s="7" t="s">
        <v>48</v>
      </c>
      <c r="J27" s="16" t="s">
        <v>95</v>
      </c>
      <c r="K27" s="17" t="s">
        <v>96</v>
      </c>
    </row>
    <row r="28" ht="22.5" customHeight="1">
      <c r="A28" s="5">
        <v>3.4</v>
      </c>
      <c r="B28" s="6" t="s">
        <v>97</v>
      </c>
      <c r="C28" s="7" t="s">
        <v>23</v>
      </c>
      <c r="D28" s="23">
        <v>2.0</v>
      </c>
      <c r="E28" s="7" t="s">
        <v>17</v>
      </c>
      <c r="F28" s="24" t="s">
        <v>27</v>
      </c>
      <c r="G28" s="27">
        <v>46289.0</v>
      </c>
      <c r="H28" s="28">
        <f t="shared" si="5"/>
        <v>46290</v>
      </c>
      <c r="I28" s="7" t="s">
        <v>48</v>
      </c>
      <c r="J28" s="16" t="s">
        <v>98</v>
      </c>
      <c r="K28" s="17" t="s">
        <v>99</v>
      </c>
    </row>
    <row r="29" ht="22.5" customHeight="1">
      <c r="A29" s="5">
        <v>3.5</v>
      </c>
      <c r="B29" s="6" t="s">
        <v>100</v>
      </c>
      <c r="C29" s="7" t="s">
        <v>23</v>
      </c>
      <c r="D29" s="23">
        <v>3.0</v>
      </c>
      <c r="E29" s="7" t="s">
        <v>17</v>
      </c>
      <c r="F29" s="24" t="s">
        <v>27</v>
      </c>
      <c r="G29" s="27">
        <v>46292.0</v>
      </c>
      <c r="H29" s="28">
        <f t="shared" si="5"/>
        <v>46294</v>
      </c>
      <c r="I29" s="7" t="s">
        <v>48</v>
      </c>
      <c r="J29" s="16" t="s">
        <v>101</v>
      </c>
      <c r="K29" s="17" t="s">
        <v>102</v>
      </c>
    </row>
    <row r="30" ht="22.5" customHeight="1">
      <c r="A30" s="5">
        <v>3.6</v>
      </c>
      <c r="B30" s="6" t="s">
        <v>103</v>
      </c>
      <c r="C30" s="7" t="s">
        <v>23</v>
      </c>
      <c r="D30" s="23">
        <v>2.0</v>
      </c>
      <c r="E30" s="7" t="s">
        <v>17</v>
      </c>
      <c r="F30" s="24" t="s">
        <v>27</v>
      </c>
      <c r="G30" s="27">
        <v>46294.0</v>
      </c>
      <c r="H30" s="28">
        <f t="shared" si="5"/>
        <v>46295</v>
      </c>
      <c r="I30" s="7" t="s">
        <v>48</v>
      </c>
      <c r="J30" s="16" t="s">
        <v>104</v>
      </c>
      <c r="K30" s="17" t="s">
        <v>105</v>
      </c>
    </row>
    <row r="31" ht="22.5" customHeight="1">
      <c r="A31" s="5">
        <v>3.7</v>
      </c>
      <c r="B31" s="6" t="s">
        <v>106</v>
      </c>
      <c r="C31" s="7" t="s">
        <v>23</v>
      </c>
      <c r="D31" s="23">
        <v>3.0</v>
      </c>
      <c r="E31" s="7" t="s">
        <v>17</v>
      </c>
      <c r="F31" s="24" t="s">
        <v>24</v>
      </c>
      <c r="G31" s="27">
        <v>46295.0</v>
      </c>
      <c r="H31" s="28">
        <f t="shared" si="5"/>
        <v>46297</v>
      </c>
      <c r="I31" s="7" t="s">
        <v>48</v>
      </c>
      <c r="J31" s="16" t="s">
        <v>107</v>
      </c>
      <c r="K31" s="17" t="s">
        <v>108</v>
      </c>
    </row>
    <row r="32" ht="22.5" customHeight="1">
      <c r="A32" s="5">
        <v>3.8</v>
      </c>
      <c r="B32" s="6" t="s">
        <v>109</v>
      </c>
      <c r="C32" s="7" t="s">
        <v>23</v>
      </c>
      <c r="D32" s="23">
        <v>2.0</v>
      </c>
      <c r="E32" s="7" t="s">
        <v>17</v>
      </c>
      <c r="F32" s="24" t="s">
        <v>27</v>
      </c>
      <c r="G32" s="29">
        <v>46296.0</v>
      </c>
      <c r="H32" s="28">
        <f t="shared" si="5"/>
        <v>46297</v>
      </c>
      <c r="I32" s="7" t="s">
        <v>48</v>
      </c>
      <c r="J32" s="16" t="s">
        <v>110</v>
      </c>
      <c r="K32" s="17" t="s">
        <v>111</v>
      </c>
    </row>
    <row r="33" ht="22.5" customHeight="1">
      <c r="A33" s="5">
        <v>3.9</v>
      </c>
      <c r="B33" s="6" t="s">
        <v>112</v>
      </c>
      <c r="C33" s="7" t="s">
        <v>23</v>
      </c>
      <c r="D33" s="23">
        <v>1.0</v>
      </c>
      <c r="E33" s="7" t="s">
        <v>17</v>
      </c>
      <c r="F33" s="24" t="s">
        <v>27</v>
      </c>
      <c r="G33" s="29">
        <v>46296.0</v>
      </c>
      <c r="H33" s="28">
        <f t="shared" si="5"/>
        <v>46296</v>
      </c>
      <c r="I33" s="7" t="s">
        <v>48</v>
      </c>
      <c r="J33" s="16" t="s">
        <v>113</v>
      </c>
      <c r="K33" s="17" t="s">
        <v>114</v>
      </c>
    </row>
    <row r="34" ht="22.5" customHeight="1">
      <c r="A34" s="5">
        <v>3.1</v>
      </c>
      <c r="B34" s="6" t="s">
        <v>115</v>
      </c>
      <c r="C34" s="7" t="s">
        <v>23</v>
      </c>
      <c r="D34" s="23">
        <v>1.0</v>
      </c>
      <c r="E34" s="7" t="s">
        <v>17</v>
      </c>
      <c r="F34" s="24" t="s">
        <v>27</v>
      </c>
      <c r="G34" s="29">
        <v>46297.0</v>
      </c>
      <c r="H34" s="28">
        <f t="shared" si="5"/>
        <v>46297</v>
      </c>
      <c r="I34" s="7" t="s">
        <v>48</v>
      </c>
      <c r="J34" s="16" t="s">
        <v>116</v>
      </c>
      <c r="K34" s="17" t="s">
        <v>117</v>
      </c>
    </row>
    <row r="35" ht="22.5" customHeight="1">
      <c r="A35" s="5">
        <v>3.11</v>
      </c>
      <c r="B35" s="6" t="s">
        <v>118</v>
      </c>
      <c r="C35" s="7" t="s">
        <v>23</v>
      </c>
      <c r="D35" s="23">
        <v>1.0</v>
      </c>
      <c r="E35" s="7" t="s">
        <v>17</v>
      </c>
      <c r="F35" s="24" t="s">
        <v>24</v>
      </c>
      <c r="G35" s="29">
        <v>46297.0</v>
      </c>
      <c r="H35" s="28">
        <f t="shared" si="5"/>
        <v>46297</v>
      </c>
      <c r="I35" s="7" t="s">
        <v>48</v>
      </c>
      <c r="J35" s="16" t="s">
        <v>119</v>
      </c>
      <c r="K35" s="17" t="s">
        <v>120</v>
      </c>
    </row>
    <row r="36" ht="22.5" customHeight="1">
      <c r="A36" s="5">
        <v>3.12</v>
      </c>
      <c r="B36" s="6" t="s">
        <v>121</v>
      </c>
      <c r="C36" s="7" t="s">
        <v>23</v>
      </c>
      <c r="D36" s="23">
        <v>1.0</v>
      </c>
      <c r="E36" s="7" t="s">
        <v>17</v>
      </c>
      <c r="F36" s="24" t="s">
        <v>24</v>
      </c>
      <c r="G36" s="29">
        <v>46300.0</v>
      </c>
      <c r="H36" s="28">
        <f t="shared" si="5"/>
        <v>46300</v>
      </c>
      <c r="I36" s="7" t="s">
        <v>48</v>
      </c>
      <c r="J36" s="16" t="s">
        <v>113</v>
      </c>
      <c r="K36" s="17" t="s">
        <v>122</v>
      </c>
    </row>
    <row r="37" ht="22.5" customHeight="1">
      <c r="A37" s="30">
        <v>3.13</v>
      </c>
      <c r="B37" s="6" t="s">
        <v>123</v>
      </c>
      <c r="C37" s="7" t="s">
        <v>23</v>
      </c>
      <c r="D37" s="23">
        <v>1.0</v>
      </c>
      <c r="E37" s="7" t="s">
        <v>17</v>
      </c>
      <c r="F37" s="24" t="s">
        <v>27</v>
      </c>
      <c r="G37" s="29">
        <v>46301.0</v>
      </c>
      <c r="H37" s="28">
        <f t="shared" si="5"/>
        <v>46301</v>
      </c>
      <c r="I37" s="7" t="s">
        <v>48</v>
      </c>
      <c r="J37" s="16" t="s">
        <v>124</v>
      </c>
      <c r="K37" s="17" t="s">
        <v>125</v>
      </c>
    </row>
    <row r="38" ht="22.5" customHeight="1">
      <c r="A38" s="30">
        <v>3.14</v>
      </c>
      <c r="B38" s="6" t="s">
        <v>126</v>
      </c>
      <c r="C38" s="7" t="s">
        <v>23</v>
      </c>
      <c r="D38" s="23">
        <v>2.0</v>
      </c>
      <c r="E38" s="7" t="s">
        <v>17</v>
      </c>
      <c r="F38" s="24" t="s">
        <v>18</v>
      </c>
      <c r="G38" s="29">
        <v>46303.0</v>
      </c>
      <c r="H38" s="28">
        <f t="shared" si="5"/>
        <v>46304</v>
      </c>
      <c r="I38" s="7" t="s">
        <v>48</v>
      </c>
      <c r="J38" s="16" t="s">
        <v>127</v>
      </c>
      <c r="K38" s="17" t="s">
        <v>128</v>
      </c>
    </row>
    <row r="39" ht="22.5" customHeight="1">
      <c r="A39" s="30">
        <v>3.15</v>
      </c>
      <c r="B39" s="6" t="s">
        <v>129</v>
      </c>
      <c r="C39" s="7" t="s">
        <v>23</v>
      </c>
      <c r="D39" s="23">
        <v>2.0</v>
      </c>
      <c r="E39" s="7" t="s">
        <v>17</v>
      </c>
      <c r="F39" s="24" t="s">
        <v>18</v>
      </c>
      <c r="G39" s="31">
        <v>46305.0</v>
      </c>
      <c r="H39" s="28">
        <f t="shared" si="5"/>
        <v>46306</v>
      </c>
      <c r="I39" s="7" t="s">
        <v>48</v>
      </c>
      <c r="J39" s="16" t="s">
        <v>130</v>
      </c>
      <c r="K39" s="17" t="s">
        <v>131</v>
      </c>
    </row>
    <row r="40" ht="22.5" customHeight="1">
      <c r="A40" s="30">
        <v>3.16</v>
      </c>
      <c r="B40" s="6" t="s">
        <v>132</v>
      </c>
      <c r="C40" s="7" t="s">
        <v>23</v>
      </c>
      <c r="D40" s="23">
        <v>2.0</v>
      </c>
      <c r="E40" s="7" t="s">
        <v>17</v>
      </c>
      <c r="F40" s="24" t="s">
        <v>24</v>
      </c>
      <c r="G40" s="32">
        <v>46308.0</v>
      </c>
      <c r="H40" s="28">
        <f t="shared" si="5"/>
        <v>46309</v>
      </c>
      <c r="I40" s="7" t="s">
        <v>48</v>
      </c>
      <c r="J40" s="16" t="s">
        <v>133</v>
      </c>
      <c r="K40" s="17" t="s">
        <v>134</v>
      </c>
    </row>
    <row r="41" ht="22.5" customHeight="1">
      <c r="A41" s="30">
        <v>3.17</v>
      </c>
      <c r="B41" s="6" t="s">
        <v>135</v>
      </c>
      <c r="C41" s="33" t="s">
        <v>23</v>
      </c>
      <c r="D41" s="23">
        <v>1.0</v>
      </c>
      <c r="E41" s="7" t="s">
        <v>17</v>
      </c>
      <c r="F41" s="24" t="s">
        <v>18</v>
      </c>
      <c r="G41" s="32">
        <v>46309.0</v>
      </c>
      <c r="H41" s="28">
        <f t="shared" si="5"/>
        <v>46309</v>
      </c>
      <c r="I41" s="7" t="s">
        <v>48</v>
      </c>
      <c r="J41" s="16" t="s">
        <v>136</v>
      </c>
      <c r="K41" s="17" t="s">
        <v>137</v>
      </c>
    </row>
    <row r="42" ht="22.5" customHeight="1">
      <c r="A42" s="5" t="s">
        <v>138</v>
      </c>
      <c r="B42" s="6" t="s">
        <v>139</v>
      </c>
      <c r="C42" s="33" t="s">
        <v>140</v>
      </c>
      <c r="D42" s="34"/>
      <c r="E42" s="35"/>
      <c r="F42" s="24" t="s">
        <v>18</v>
      </c>
      <c r="G42" s="32">
        <v>46310.0</v>
      </c>
      <c r="H42" s="36"/>
      <c r="I42" s="7" t="s">
        <v>141</v>
      </c>
      <c r="J42" s="16" t="s">
        <v>142</v>
      </c>
      <c r="K42" s="17" t="s">
        <v>143</v>
      </c>
    </row>
    <row r="43" ht="22.5" customHeight="1">
      <c r="A43" s="21" t="s">
        <v>144</v>
      </c>
      <c r="B43" s="6" t="s">
        <v>145</v>
      </c>
      <c r="C43" s="37" t="s">
        <v>16</v>
      </c>
      <c r="D43" s="23">
        <v>1.0</v>
      </c>
      <c r="E43" s="38" t="s">
        <v>146</v>
      </c>
      <c r="F43" s="24" t="s">
        <v>18</v>
      </c>
      <c r="G43" s="26">
        <v>46312.0</v>
      </c>
      <c r="H43" s="28">
        <f t="shared" ref="H43:H57" si="6">IF(OR(C43="Hito",G43="",D43="",E43=""),"",IF(E43="Días",G43+D43-1,IF(E43="Semanas",G43+(D43*7)-1,IF(E43="Meses",EDATE(G43,D43)-1,""))))</f>
        <v>46342</v>
      </c>
      <c r="I43" s="7" t="s">
        <v>147</v>
      </c>
      <c r="J43" s="39"/>
      <c r="K43" s="17" t="s">
        <v>148</v>
      </c>
    </row>
    <row r="44" ht="22.5" customHeight="1">
      <c r="A44" s="21" t="s">
        <v>149</v>
      </c>
      <c r="B44" s="6" t="s">
        <v>150</v>
      </c>
      <c r="C44" s="40" t="s">
        <v>23</v>
      </c>
      <c r="D44" s="23">
        <v>2.0</v>
      </c>
      <c r="E44" s="41" t="s">
        <v>17</v>
      </c>
      <c r="F44" s="24" t="s">
        <v>27</v>
      </c>
      <c r="G44" s="26">
        <v>46312.0</v>
      </c>
      <c r="H44" s="28">
        <f t="shared" si="6"/>
        <v>46313</v>
      </c>
      <c r="I44" s="7" t="s">
        <v>147</v>
      </c>
      <c r="J44" s="39"/>
      <c r="K44" s="17" t="s">
        <v>151</v>
      </c>
    </row>
    <row r="45" ht="22.5" customHeight="1">
      <c r="A45" s="21" t="s">
        <v>152</v>
      </c>
      <c r="B45" s="6" t="s">
        <v>153</v>
      </c>
      <c r="C45" s="40" t="s">
        <v>23</v>
      </c>
      <c r="D45" s="23">
        <v>2.0</v>
      </c>
      <c r="E45" s="41" t="s">
        <v>17</v>
      </c>
      <c r="F45" s="24" t="s">
        <v>18</v>
      </c>
      <c r="G45" s="26">
        <v>46315.0</v>
      </c>
      <c r="H45" s="28">
        <f t="shared" si="6"/>
        <v>46316</v>
      </c>
      <c r="I45" s="7" t="s">
        <v>147</v>
      </c>
      <c r="J45" s="39"/>
      <c r="K45" s="17" t="s">
        <v>154</v>
      </c>
    </row>
    <row r="46" ht="22.5" customHeight="1">
      <c r="A46" s="21" t="s">
        <v>155</v>
      </c>
      <c r="B46" s="6" t="s">
        <v>156</v>
      </c>
      <c r="C46" s="40" t="s">
        <v>23</v>
      </c>
      <c r="D46" s="23">
        <v>2.0</v>
      </c>
      <c r="E46" s="41" t="s">
        <v>17</v>
      </c>
      <c r="F46" s="24" t="s">
        <v>27</v>
      </c>
      <c r="G46" s="26">
        <v>46318.0</v>
      </c>
      <c r="H46" s="28">
        <f t="shared" si="6"/>
        <v>46319</v>
      </c>
      <c r="I46" s="7" t="s">
        <v>147</v>
      </c>
      <c r="J46" s="39"/>
      <c r="K46" s="17" t="s">
        <v>157</v>
      </c>
    </row>
    <row r="47" ht="22.5" customHeight="1">
      <c r="A47" s="21" t="s">
        <v>158</v>
      </c>
      <c r="B47" s="6" t="s">
        <v>159</v>
      </c>
      <c r="C47" s="40" t="s">
        <v>23</v>
      </c>
      <c r="D47" s="23">
        <v>2.0</v>
      </c>
      <c r="E47" s="41" t="s">
        <v>17</v>
      </c>
      <c r="F47" s="24" t="s">
        <v>27</v>
      </c>
      <c r="G47" s="26">
        <v>46318.0</v>
      </c>
      <c r="H47" s="28">
        <f t="shared" si="6"/>
        <v>46319</v>
      </c>
      <c r="I47" s="7" t="s">
        <v>147</v>
      </c>
      <c r="J47" s="39"/>
      <c r="K47" s="17" t="s">
        <v>160</v>
      </c>
    </row>
    <row r="48" ht="22.5" customHeight="1">
      <c r="A48" s="21" t="s">
        <v>161</v>
      </c>
      <c r="B48" s="6" t="s">
        <v>162</v>
      </c>
      <c r="C48" s="40" t="s">
        <v>23</v>
      </c>
      <c r="D48" s="23">
        <v>2.0</v>
      </c>
      <c r="E48" s="41" t="s">
        <v>17</v>
      </c>
      <c r="F48" s="24" t="s">
        <v>27</v>
      </c>
      <c r="G48" s="26">
        <v>46322.0</v>
      </c>
      <c r="H48" s="28">
        <f t="shared" si="6"/>
        <v>46323</v>
      </c>
      <c r="I48" s="7" t="s">
        <v>147</v>
      </c>
      <c r="J48" s="39"/>
      <c r="K48" s="17" t="s">
        <v>163</v>
      </c>
    </row>
    <row r="49" ht="22.5" customHeight="1">
      <c r="A49" s="21" t="s">
        <v>164</v>
      </c>
      <c r="B49" s="6" t="s">
        <v>165</v>
      </c>
      <c r="C49" s="40" t="s">
        <v>23</v>
      </c>
      <c r="D49" s="23">
        <v>2.0</v>
      </c>
      <c r="E49" s="41" t="s">
        <v>17</v>
      </c>
      <c r="F49" s="24" t="s">
        <v>27</v>
      </c>
      <c r="G49" s="26">
        <v>46322.0</v>
      </c>
      <c r="H49" s="28">
        <f t="shared" si="6"/>
        <v>46323</v>
      </c>
      <c r="I49" s="7" t="s">
        <v>147</v>
      </c>
      <c r="J49" s="39"/>
      <c r="K49" s="17" t="s">
        <v>166</v>
      </c>
    </row>
    <row r="50" ht="22.5" customHeight="1">
      <c r="A50" s="21" t="s">
        <v>167</v>
      </c>
      <c r="B50" s="6" t="s">
        <v>168</v>
      </c>
      <c r="C50" s="40" t="s">
        <v>23</v>
      </c>
      <c r="D50" s="23">
        <v>2.0</v>
      </c>
      <c r="E50" s="41" t="s">
        <v>17</v>
      </c>
      <c r="F50" s="24" t="s">
        <v>24</v>
      </c>
      <c r="G50" s="26">
        <v>46325.0</v>
      </c>
      <c r="H50" s="28">
        <f t="shared" si="6"/>
        <v>46326</v>
      </c>
      <c r="I50" s="7" t="s">
        <v>147</v>
      </c>
      <c r="J50" s="39"/>
      <c r="K50" s="17" t="s">
        <v>169</v>
      </c>
    </row>
    <row r="51" ht="22.5" customHeight="1">
      <c r="A51" s="21" t="s">
        <v>170</v>
      </c>
      <c r="B51" s="6" t="s">
        <v>171</v>
      </c>
      <c r="C51" s="40" t="s">
        <v>23</v>
      </c>
      <c r="D51" s="23">
        <v>2.0</v>
      </c>
      <c r="E51" s="41" t="s">
        <v>17</v>
      </c>
      <c r="F51" s="24" t="s">
        <v>18</v>
      </c>
      <c r="G51" s="26">
        <v>46326.0</v>
      </c>
      <c r="H51" s="28">
        <f t="shared" si="6"/>
        <v>46327</v>
      </c>
      <c r="I51" s="7" t="s">
        <v>147</v>
      </c>
      <c r="J51" s="39"/>
      <c r="K51" s="17" t="s">
        <v>172</v>
      </c>
    </row>
    <row r="52" ht="22.5" customHeight="1">
      <c r="A52" s="21" t="s">
        <v>173</v>
      </c>
      <c r="B52" s="6" t="s">
        <v>174</v>
      </c>
      <c r="C52" s="40" t="s">
        <v>23</v>
      </c>
      <c r="D52" s="23">
        <v>1.0</v>
      </c>
      <c r="E52" s="41" t="s">
        <v>17</v>
      </c>
      <c r="F52" s="24" t="s">
        <v>27</v>
      </c>
      <c r="G52" s="42">
        <v>46329.0</v>
      </c>
      <c r="H52" s="28">
        <f t="shared" si="6"/>
        <v>46329</v>
      </c>
      <c r="I52" s="7" t="s">
        <v>147</v>
      </c>
      <c r="J52" s="39"/>
      <c r="K52" s="17" t="s">
        <v>175</v>
      </c>
    </row>
    <row r="53" ht="22.5" customHeight="1">
      <c r="A53" s="21" t="s">
        <v>176</v>
      </c>
      <c r="B53" s="6" t="s">
        <v>177</v>
      </c>
      <c r="C53" s="40" t="s">
        <v>23</v>
      </c>
      <c r="D53" s="23">
        <v>2.0</v>
      </c>
      <c r="E53" s="41" t="s">
        <v>17</v>
      </c>
      <c r="F53" s="24" t="s">
        <v>27</v>
      </c>
      <c r="G53" s="42">
        <v>46331.0</v>
      </c>
      <c r="H53" s="28">
        <f t="shared" si="6"/>
        <v>46332</v>
      </c>
      <c r="I53" s="7" t="s">
        <v>147</v>
      </c>
      <c r="J53" s="39"/>
      <c r="K53" s="17" t="s">
        <v>178</v>
      </c>
      <c r="N53" s="43">
        <v>46406.0</v>
      </c>
    </row>
    <row r="54" ht="22.5" customHeight="1">
      <c r="A54" s="21" t="s">
        <v>179</v>
      </c>
      <c r="B54" s="6" t="s">
        <v>180</v>
      </c>
      <c r="C54" s="40" t="s">
        <v>23</v>
      </c>
      <c r="D54" s="23">
        <v>2.0</v>
      </c>
      <c r="E54" s="41" t="s">
        <v>17</v>
      </c>
      <c r="F54" s="24" t="s">
        <v>27</v>
      </c>
      <c r="G54" s="42">
        <v>46332.0</v>
      </c>
      <c r="H54" s="28">
        <f t="shared" si="6"/>
        <v>46333</v>
      </c>
      <c r="I54" s="7" t="s">
        <v>147</v>
      </c>
      <c r="J54" s="39"/>
      <c r="K54" s="17" t="s">
        <v>181</v>
      </c>
      <c r="N54" s="43">
        <v>46406.0</v>
      </c>
    </row>
    <row r="55" ht="22.5" customHeight="1">
      <c r="A55" s="21" t="s">
        <v>182</v>
      </c>
      <c r="B55" s="6" t="s">
        <v>183</v>
      </c>
      <c r="C55" s="40" t="s">
        <v>23</v>
      </c>
      <c r="D55" s="23">
        <v>2.0</v>
      </c>
      <c r="E55" s="41" t="s">
        <v>17</v>
      </c>
      <c r="F55" s="24" t="s">
        <v>18</v>
      </c>
      <c r="G55" s="42">
        <v>46333.0</v>
      </c>
      <c r="H55" s="28">
        <f t="shared" si="6"/>
        <v>46334</v>
      </c>
      <c r="I55" s="7" t="s">
        <v>147</v>
      </c>
      <c r="J55" s="39"/>
      <c r="K55" s="17" t="s">
        <v>184</v>
      </c>
      <c r="N55" s="43">
        <v>46408.0</v>
      </c>
    </row>
    <row r="56" ht="22.5" customHeight="1">
      <c r="A56" s="21" t="s">
        <v>185</v>
      </c>
      <c r="B56" s="6" t="s">
        <v>186</v>
      </c>
      <c r="C56" s="40" t="s">
        <v>23</v>
      </c>
      <c r="D56" s="23">
        <v>1.0</v>
      </c>
      <c r="E56" s="41" t="s">
        <v>17</v>
      </c>
      <c r="F56" s="24" t="s">
        <v>27</v>
      </c>
      <c r="G56" s="42">
        <v>46334.0</v>
      </c>
      <c r="H56" s="28">
        <f t="shared" si="6"/>
        <v>46334</v>
      </c>
      <c r="I56" s="7" t="s">
        <v>147</v>
      </c>
      <c r="J56" s="39"/>
      <c r="K56" s="17" t="s">
        <v>187</v>
      </c>
      <c r="N56" s="43">
        <v>46410.0</v>
      </c>
    </row>
    <row r="57" ht="22.5" customHeight="1">
      <c r="A57" s="21" t="s">
        <v>188</v>
      </c>
      <c r="B57" s="6" t="s">
        <v>189</v>
      </c>
      <c r="C57" s="40" t="s">
        <v>23</v>
      </c>
      <c r="D57" s="23">
        <v>1.0</v>
      </c>
      <c r="E57" s="41" t="s">
        <v>17</v>
      </c>
      <c r="F57" s="24" t="s">
        <v>18</v>
      </c>
      <c r="G57" s="26">
        <v>46431.0</v>
      </c>
      <c r="H57" s="28">
        <f t="shared" si="6"/>
        <v>46431</v>
      </c>
      <c r="I57" s="7" t="s">
        <v>147</v>
      </c>
      <c r="J57" s="39"/>
      <c r="K57" s="17" t="s">
        <v>190</v>
      </c>
      <c r="N57" s="43">
        <v>46413.0</v>
      </c>
    </row>
    <row r="58" ht="22.5" customHeight="1">
      <c r="A58" s="5" t="s">
        <v>191</v>
      </c>
      <c r="B58" s="6" t="s">
        <v>192</v>
      </c>
      <c r="C58" s="33" t="s">
        <v>140</v>
      </c>
      <c r="D58" s="44"/>
      <c r="E58" s="45"/>
      <c r="F58" s="24" t="s">
        <v>18</v>
      </c>
      <c r="G58" s="26">
        <v>46431.0</v>
      </c>
      <c r="H58" s="36"/>
      <c r="I58" s="7" t="s">
        <v>141</v>
      </c>
      <c r="J58" s="39"/>
      <c r="K58" s="17" t="s">
        <v>193</v>
      </c>
      <c r="N58" s="43">
        <v>46415.0</v>
      </c>
    </row>
    <row r="59" ht="22.5" customHeight="1">
      <c r="A59" s="21" t="s">
        <v>194</v>
      </c>
      <c r="B59" s="6" t="s">
        <v>195</v>
      </c>
      <c r="C59" s="7" t="s">
        <v>16</v>
      </c>
      <c r="D59" s="23">
        <v>3.0</v>
      </c>
      <c r="E59" s="7" t="s">
        <v>196</v>
      </c>
      <c r="F59" s="24" t="s">
        <v>18</v>
      </c>
      <c r="G59" s="26">
        <v>46406.0</v>
      </c>
      <c r="H59" s="28">
        <f t="shared" ref="H59:H68" si="7">IF(OR(C59="Hito",G59="",D59="",E59=""),"",IF(E59="Días",G59+D59-1,IF(E59="Semanas",G59+(D59*7)-1,IF(E59="Meses",EDATE(G59,D59)-1,""))))</f>
        <v>46426</v>
      </c>
      <c r="I59" s="7" t="s">
        <v>147</v>
      </c>
      <c r="J59" s="16" t="s">
        <v>142</v>
      </c>
      <c r="K59" s="17" t="s">
        <v>197</v>
      </c>
      <c r="N59" s="43">
        <v>46417.0</v>
      </c>
    </row>
    <row r="60" ht="22.5" customHeight="1">
      <c r="A60" s="21" t="s">
        <v>198</v>
      </c>
      <c r="B60" s="6" t="s">
        <v>199</v>
      </c>
      <c r="C60" s="7" t="s">
        <v>23</v>
      </c>
      <c r="D60" s="23">
        <v>2.0</v>
      </c>
      <c r="E60" s="7" t="s">
        <v>17</v>
      </c>
      <c r="F60" s="24" t="s">
        <v>27</v>
      </c>
      <c r="G60" s="26">
        <v>46406.0</v>
      </c>
      <c r="H60" s="28">
        <f t="shared" si="7"/>
        <v>46407</v>
      </c>
      <c r="I60" s="7" t="s">
        <v>147</v>
      </c>
      <c r="J60" s="16" t="s">
        <v>200</v>
      </c>
      <c r="K60" s="17" t="s">
        <v>201</v>
      </c>
      <c r="N60" s="46">
        <v>46420.0</v>
      </c>
    </row>
    <row r="61" ht="22.5" customHeight="1">
      <c r="A61" s="21" t="s">
        <v>202</v>
      </c>
      <c r="B61" s="6" t="s">
        <v>203</v>
      </c>
      <c r="C61" s="7" t="s">
        <v>23</v>
      </c>
      <c r="D61" s="23">
        <v>2.0</v>
      </c>
      <c r="E61" s="7" t="s">
        <v>17</v>
      </c>
      <c r="F61" s="24" t="s">
        <v>27</v>
      </c>
      <c r="G61" s="26">
        <v>46408.0</v>
      </c>
      <c r="H61" s="28">
        <f t="shared" si="7"/>
        <v>46409</v>
      </c>
      <c r="I61" s="7" t="s">
        <v>147</v>
      </c>
      <c r="J61" s="16" t="s">
        <v>204</v>
      </c>
      <c r="K61" s="17" t="s">
        <v>205</v>
      </c>
      <c r="N61" s="46">
        <v>46422.0</v>
      </c>
    </row>
    <row r="62" ht="22.5" customHeight="1">
      <c r="A62" s="21" t="s">
        <v>206</v>
      </c>
      <c r="B62" s="6" t="s">
        <v>207</v>
      </c>
      <c r="C62" s="7" t="s">
        <v>23</v>
      </c>
      <c r="D62" s="23">
        <v>3.0</v>
      </c>
      <c r="E62" s="7" t="s">
        <v>17</v>
      </c>
      <c r="F62" s="24" t="s">
        <v>27</v>
      </c>
      <c r="G62" s="26">
        <v>46410.0</v>
      </c>
      <c r="H62" s="28">
        <f t="shared" si="7"/>
        <v>46412</v>
      </c>
      <c r="I62" s="7" t="s">
        <v>147</v>
      </c>
      <c r="J62" s="16" t="s">
        <v>208</v>
      </c>
      <c r="K62" s="17" t="s">
        <v>209</v>
      </c>
      <c r="N62" s="46">
        <v>46423.0</v>
      </c>
    </row>
    <row r="63" ht="22.5" customHeight="1">
      <c r="A63" s="21" t="s">
        <v>210</v>
      </c>
      <c r="B63" s="6" t="s">
        <v>211</v>
      </c>
      <c r="C63" s="7" t="s">
        <v>23</v>
      </c>
      <c r="D63" s="23">
        <v>2.0</v>
      </c>
      <c r="E63" s="7" t="s">
        <v>17</v>
      </c>
      <c r="F63" s="24" t="s">
        <v>24</v>
      </c>
      <c r="G63" s="26">
        <v>46413.0</v>
      </c>
      <c r="H63" s="28">
        <f t="shared" si="7"/>
        <v>46414</v>
      </c>
      <c r="I63" s="7" t="s">
        <v>147</v>
      </c>
      <c r="J63" s="16" t="s">
        <v>212</v>
      </c>
      <c r="K63" s="17" t="s">
        <v>213</v>
      </c>
      <c r="N63" s="46">
        <v>46425.0</v>
      </c>
    </row>
    <row r="64" ht="22.5" customHeight="1">
      <c r="A64" s="21" t="s">
        <v>214</v>
      </c>
      <c r="B64" s="6" t="s">
        <v>215</v>
      </c>
      <c r="C64" s="7" t="s">
        <v>23</v>
      </c>
      <c r="D64" s="23">
        <v>2.0</v>
      </c>
      <c r="E64" s="7" t="s">
        <v>17</v>
      </c>
      <c r="F64" s="24" t="s">
        <v>27</v>
      </c>
      <c r="G64" s="26">
        <v>46415.0</v>
      </c>
      <c r="H64" s="28">
        <f t="shared" si="7"/>
        <v>46416</v>
      </c>
      <c r="I64" s="7" t="s">
        <v>147</v>
      </c>
      <c r="J64" s="16" t="s">
        <v>142</v>
      </c>
      <c r="K64" s="17" t="s">
        <v>216</v>
      </c>
      <c r="N64" s="46">
        <v>46427.0</v>
      </c>
    </row>
    <row r="65" ht="22.5" customHeight="1">
      <c r="A65" s="21" t="s">
        <v>217</v>
      </c>
      <c r="B65" s="6" t="s">
        <v>218</v>
      </c>
      <c r="C65" s="7" t="s">
        <v>23</v>
      </c>
      <c r="D65" s="23">
        <v>2.0</v>
      </c>
      <c r="E65" s="7" t="s">
        <v>17</v>
      </c>
      <c r="F65" s="24" t="s">
        <v>24</v>
      </c>
      <c r="G65" s="26">
        <v>46417.0</v>
      </c>
      <c r="H65" s="28">
        <f t="shared" si="7"/>
        <v>46418</v>
      </c>
      <c r="I65" s="7" t="s">
        <v>147</v>
      </c>
      <c r="J65" s="16" t="s">
        <v>219</v>
      </c>
      <c r="K65" s="17" t="s">
        <v>220</v>
      </c>
      <c r="N65" s="46">
        <v>46429.0</v>
      </c>
    </row>
    <row r="66" ht="22.5" customHeight="1">
      <c r="A66" s="21" t="s">
        <v>221</v>
      </c>
      <c r="B66" s="6" t="s">
        <v>222</v>
      </c>
      <c r="C66" s="7" t="s">
        <v>23</v>
      </c>
      <c r="D66" s="23">
        <v>3.0</v>
      </c>
      <c r="E66" s="7" t="s">
        <v>17</v>
      </c>
      <c r="F66" s="24" t="s">
        <v>24</v>
      </c>
      <c r="G66" s="42">
        <v>46420.0</v>
      </c>
      <c r="H66" s="28">
        <f t="shared" si="7"/>
        <v>46422</v>
      </c>
      <c r="I66" s="7" t="s">
        <v>147</v>
      </c>
      <c r="J66" s="16" t="s">
        <v>223</v>
      </c>
      <c r="K66" s="17" t="s">
        <v>224</v>
      </c>
      <c r="N66" s="46">
        <v>46430.0</v>
      </c>
    </row>
    <row r="67" ht="22.5" customHeight="1">
      <c r="A67" s="21" t="s">
        <v>225</v>
      </c>
      <c r="B67" s="6" t="s">
        <v>226</v>
      </c>
      <c r="C67" s="7" t="s">
        <v>23</v>
      </c>
      <c r="D67" s="23">
        <v>3.0</v>
      </c>
      <c r="E67" s="7" t="s">
        <v>17</v>
      </c>
      <c r="F67" s="24" t="s">
        <v>27</v>
      </c>
      <c r="G67" s="42">
        <v>46422.0</v>
      </c>
      <c r="H67" s="28">
        <f t="shared" si="7"/>
        <v>46424</v>
      </c>
      <c r="I67" s="7" t="s">
        <v>147</v>
      </c>
      <c r="J67" s="16" t="s">
        <v>227</v>
      </c>
      <c r="K67" s="17" t="s">
        <v>228</v>
      </c>
      <c r="N67" s="43">
        <v>46431.0</v>
      </c>
    </row>
    <row r="68" ht="22.5" customHeight="1">
      <c r="A68" s="21" t="s">
        <v>229</v>
      </c>
      <c r="B68" s="6" t="s">
        <v>230</v>
      </c>
      <c r="C68" s="7" t="s">
        <v>23</v>
      </c>
      <c r="D68" s="23">
        <v>2.0</v>
      </c>
      <c r="E68" s="7" t="s">
        <v>17</v>
      </c>
      <c r="F68" s="24" t="s">
        <v>18</v>
      </c>
      <c r="G68" s="42">
        <v>46423.0</v>
      </c>
      <c r="H68" s="28">
        <f t="shared" si="7"/>
        <v>46424</v>
      </c>
      <c r="I68" s="7" t="s">
        <v>147</v>
      </c>
      <c r="J68" s="16" t="s">
        <v>231</v>
      </c>
      <c r="K68" s="17" t="s">
        <v>232</v>
      </c>
      <c r="N68" s="43">
        <v>46431.0</v>
      </c>
    </row>
    <row r="69" ht="22.5" customHeight="1">
      <c r="A69" s="21" t="s">
        <v>233</v>
      </c>
      <c r="B69" s="6" t="s">
        <v>234</v>
      </c>
      <c r="C69" s="33" t="s">
        <v>23</v>
      </c>
      <c r="D69" s="23">
        <v>2.0</v>
      </c>
      <c r="E69" s="7" t="s">
        <v>17</v>
      </c>
      <c r="F69" s="24" t="s">
        <v>18</v>
      </c>
      <c r="G69" s="42">
        <v>46425.0</v>
      </c>
      <c r="H69" s="15"/>
      <c r="I69" s="33" t="s">
        <v>141</v>
      </c>
      <c r="J69" s="16" t="s">
        <v>235</v>
      </c>
      <c r="K69" s="17" t="s">
        <v>128</v>
      </c>
    </row>
    <row r="70" ht="22.5" customHeight="1">
      <c r="A70" s="21" t="s">
        <v>236</v>
      </c>
      <c r="B70" s="6" t="s">
        <v>237</v>
      </c>
      <c r="C70" s="33" t="s">
        <v>23</v>
      </c>
      <c r="D70" s="23">
        <v>1.0</v>
      </c>
      <c r="E70" s="7" t="s">
        <v>17</v>
      </c>
      <c r="F70" s="24" t="s">
        <v>18</v>
      </c>
      <c r="G70" s="42">
        <v>46427.0</v>
      </c>
      <c r="H70" s="28">
        <f t="shared" ref="H70:H71" si="8">IF(OR(C70="Hito",G70="",D70="",E70=""),"",IF(E70="Días",G70+D70-1,IF(E70="Semanas",G70+(D70*7)-1,IF(E70="Meses",EDATE(G70,D70)-1,""))))</f>
        <v>46427</v>
      </c>
      <c r="I70" s="7" t="s">
        <v>147</v>
      </c>
      <c r="J70" s="16" t="s">
        <v>238</v>
      </c>
      <c r="K70" s="17" t="s">
        <v>239</v>
      </c>
    </row>
    <row r="71" ht="22.5" customHeight="1">
      <c r="A71" s="21" t="s">
        <v>240</v>
      </c>
      <c r="B71" s="6" t="s">
        <v>241</v>
      </c>
      <c r="C71" s="7" t="s">
        <v>23</v>
      </c>
      <c r="D71" s="23">
        <v>1.0</v>
      </c>
      <c r="E71" s="7" t="s">
        <v>17</v>
      </c>
      <c r="F71" s="24" t="s">
        <v>18</v>
      </c>
      <c r="G71" s="42">
        <v>46429.0</v>
      </c>
      <c r="H71" s="28">
        <f t="shared" si="8"/>
        <v>46429</v>
      </c>
      <c r="I71" s="7" t="s">
        <v>147</v>
      </c>
      <c r="J71" s="16" t="s">
        <v>238</v>
      </c>
      <c r="K71" s="6" t="s">
        <v>242</v>
      </c>
    </row>
    <row r="72" ht="22.5" customHeight="1">
      <c r="A72" s="5" t="s">
        <v>243</v>
      </c>
      <c r="B72" s="6" t="s">
        <v>244</v>
      </c>
      <c r="C72" s="7" t="s">
        <v>140</v>
      </c>
      <c r="D72" s="34"/>
      <c r="E72" s="35"/>
      <c r="F72" s="24" t="s">
        <v>18</v>
      </c>
      <c r="G72" s="42">
        <v>46430.0</v>
      </c>
      <c r="H72" s="36"/>
      <c r="I72" s="7" t="s">
        <v>141</v>
      </c>
      <c r="J72" s="16" t="s">
        <v>245</v>
      </c>
      <c r="K72" s="6" t="s">
        <v>246</v>
      </c>
    </row>
    <row r="73" ht="22.5" customHeight="1">
      <c r="A73" s="21" t="s">
        <v>247</v>
      </c>
      <c r="B73" s="6" t="s">
        <v>248</v>
      </c>
      <c r="C73" s="7" t="s">
        <v>16</v>
      </c>
      <c r="D73" s="23">
        <v>1.0</v>
      </c>
      <c r="E73" s="7" t="s">
        <v>146</v>
      </c>
      <c r="F73" s="24" t="s">
        <v>18</v>
      </c>
      <c r="G73" s="26">
        <v>46431.0</v>
      </c>
      <c r="H73" s="28">
        <f t="shared" ref="H73:H89" si="9">IF(OR(C73="Hito",G73="",D73="",E73=""),"",IF(E73="Días",G73+D73-1,IF(E73="Semanas",G73+(D73*7)-1,IF(E73="Meses",EDATE(G73,D73)-1,""))))</f>
        <v>46458</v>
      </c>
      <c r="I73" s="7" t="s">
        <v>147</v>
      </c>
      <c r="J73" s="16" t="s">
        <v>249</v>
      </c>
      <c r="K73" s="6" t="s">
        <v>250</v>
      </c>
    </row>
    <row r="74" ht="22.5" customHeight="1">
      <c r="A74" s="21" t="s">
        <v>251</v>
      </c>
      <c r="B74" s="6" t="s">
        <v>252</v>
      </c>
      <c r="C74" s="7" t="s">
        <v>23</v>
      </c>
      <c r="D74" s="23">
        <v>2.0</v>
      </c>
      <c r="E74" s="7" t="s">
        <v>17</v>
      </c>
      <c r="F74" s="24" t="s">
        <v>27</v>
      </c>
      <c r="G74" s="26">
        <v>46431.0</v>
      </c>
      <c r="H74" s="28">
        <f t="shared" si="9"/>
        <v>46432</v>
      </c>
      <c r="I74" s="7" t="s">
        <v>147</v>
      </c>
      <c r="J74" s="16" t="s">
        <v>253</v>
      </c>
      <c r="K74" s="6" t="s">
        <v>254</v>
      </c>
    </row>
    <row r="75" ht="22.5" customHeight="1">
      <c r="A75" s="21" t="s">
        <v>255</v>
      </c>
      <c r="B75" s="6" t="s">
        <v>256</v>
      </c>
      <c r="C75" s="7" t="s">
        <v>23</v>
      </c>
      <c r="D75" s="23">
        <v>2.0</v>
      </c>
      <c r="E75" s="7" t="s">
        <v>17</v>
      </c>
      <c r="F75" s="24" t="s">
        <v>27</v>
      </c>
      <c r="G75" s="31">
        <v>46336.0</v>
      </c>
      <c r="H75" s="28">
        <f t="shared" si="9"/>
        <v>46337</v>
      </c>
      <c r="I75" s="7" t="s">
        <v>147</v>
      </c>
      <c r="J75" s="16" t="s">
        <v>249</v>
      </c>
      <c r="K75" s="6" t="s">
        <v>257</v>
      </c>
    </row>
    <row r="76" ht="22.5" customHeight="1">
      <c r="A76" s="21" t="s">
        <v>258</v>
      </c>
      <c r="B76" s="6" t="s">
        <v>259</v>
      </c>
      <c r="C76" s="7" t="s">
        <v>23</v>
      </c>
      <c r="D76" s="23">
        <v>3.0</v>
      </c>
      <c r="E76" s="7" t="s">
        <v>17</v>
      </c>
      <c r="F76" s="24" t="s">
        <v>27</v>
      </c>
      <c r="G76" s="32">
        <v>46340.0</v>
      </c>
      <c r="H76" s="28">
        <f t="shared" si="9"/>
        <v>46342</v>
      </c>
      <c r="I76" s="7" t="s">
        <v>147</v>
      </c>
      <c r="J76" s="16" t="s">
        <v>253</v>
      </c>
      <c r="K76" s="6" t="s">
        <v>260</v>
      </c>
    </row>
    <row r="77" ht="22.5" customHeight="1">
      <c r="A77" s="21" t="s">
        <v>261</v>
      </c>
      <c r="B77" s="6" t="s">
        <v>262</v>
      </c>
      <c r="C77" s="7" t="s">
        <v>23</v>
      </c>
      <c r="D77" s="23">
        <v>3.0</v>
      </c>
      <c r="E77" s="7" t="s">
        <v>17</v>
      </c>
      <c r="F77" s="24" t="s">
        <v>27</v>
      </c>
      <c r="G77" s="32">
        <v>46344.0</v>
      </c>
      <c r="H77" s="28">
        <f t="shared" si="9"/>
        <v>46346</v>
      </c>
      <c r="I77" s="7" t="s">
        <v>147</v>
      </c>
      <c r="J77" s="16" t="s">
        <v>263</v>
      </c>
      <c r="K77" s="6" t="s">
        <v>264</v>
      </c>
    </row>
    <row r="78" ht="22.5" customHeight="1">
      <c r="A78" s="21" t="s">
        <v>265</v>
      </c>
      <c r="B78" s="6" t="s">
        <v>266</v>
      </c>
      <c r="C78" s="7" t="s">
        <v>23</v>
      </c>
      <c r="D78" s="23">
        <v>2.0</v>
      </c>
      <c r="E78" s="7" t="s">
        <v>17</v>
      </c>
      <c r="F78" s="24" t="s">
        <v>27</v>
      </c>
      <c r="G78" s="32">
        <v>46344.0</v>
      </c>
      <c r="H78" s="28">
        <f t="shared" si="9"/>
        <v>46345</v>
      </c>
      <c r="I78" s="7" t="s">
        <v>147</v>
      </c>
      <c r="J78" s="16" t="s">
        <v>267</v>
      </c>
      <c r="K78" s="6" t="s">
        <v>268</v>
      </c>
    </row>
    <row r="79" ht="22.5" customHeight="1">
      <c r="A79" s="21" t="s">
        <v>269</v>
      </c>
      <c r="B79" s="6" t="s">
        <v>270</v>
      </c>
      <c r="C79" s="7" t="s">
        <v>23</v>
      </c>
      <c r="D79" s="23">
        <v>2.0</v>
      </c>
      <c r="E79" s="7" t="s">
        <v>17</v>
      </c>
      <c r="F79" s="24" t="s">
        <v>24</v>
      </c>
      <c r="G79" s="32">
        <v>46346.0</v>
      </c>
      <c r="H79" s="28">
        <f t="shared" si="9"/>
        <v>46347</v>
      </c>
      <c r="I79" s="7" t="s">
        <v>147</v>
      </c>
      <c r="J79" s="16" t="s">
        <v>271</v>
      </c>
      <c r="K79" s="6" t="s">
        <v>272</v>
      </c>
    </row>
    <row r="80" ht="22.5" customHeight="1">
      <c r="A80" s="21" t="s">
        <v>273</v>
      </c>
      <c r="B80" s="6" t="s">
        <v>274</v>
      </c>
      <c r="C80" s="7" t="s">
        <v>23</v>
      </c>
      <c r="D80" s="23">
        <v>2.0</v>
      </c>
      <c r="E80" s="7" t="s">
        <v>17</v>
      </c>
      <c r="F80" s="24" t="s">
        <v>18</v>
      </c>
      <c r="G80" s="26">
        <v>46347.0</v>
      </c>
      <c r="H80" s="28">
        <f t="shared" si="9"/>
        <v>46348</v>
      </c>
      <c r="I80" s="7" t="s">
        <v>147</v>
      </c>
      <c r="J80" s="39"/>
      <c r="K80" s="6" t="s">
        <v>275</v>
      </c>
    </row>
    <row r="81" ht="22.5" customHeight="1">
      <c r="A81" s="21" t="s">
        <v>276</v>
      </c>
      <c r="B81" s="6" t="s">
        <v>277</v>
      </c>
      <c r="C81" s="7" t="s">
        <v>23</v>
      </c>
      <c r="D81" s="23">
        <v>2.0</v>
      </c>
      <c r="E81" s="7" t="s">
        <v>17</v>
      </c>
      <c r="F81" s="24" t="s">
        <v>27</v>
      </c>
      <c r="G81" s="26">
        <v>46350.0</v>
      </c>
      <c r="H81" s="28">
        <f t="shared" si="9"/>
        <v>46351</v>
      </c>
      <c r="I81" s="7" t="s">
        <v>147</v>
      </c>
      <c r="J81" s="39"/>
      <c r="K81" s="6" t="s">
        <v>278</v>
      </c>
    </row>
    <row r="82" ht="22.5" customHeight="1">
      <c r="A82" s="21" t="s">
        <v>279</v>
      </c>
      <c r="B82" s="6" t="s">
        <v>280</v>
      </c>
      <c r="C82" s="7" t="s">
        <v>23</v>
      </c>
      <c r="D82" s="23">
        <v>2.0</v>
      </c>
      <c r="E82" s="7" t="s">
        <v>17</v>
      </c>
      <c r="F82" s="24" t="s">
        <v>18</v>
      </c>
      <c r="G82" s="26">
        <v>46351.0</v>
      </c>
      <c r="H82" s="28">
        <f t="shared" si="9"/>
        <v>46352</v>
      </c>
      <c r="I82" s="7" t="s">
        <v>147</v>
      </c>
      <c r="J82" s="39"/>
      <c r="K82" s="6" t="s">
        <v>281</v>
      </c>
    </row>
    <row r="83" ht="22.5" customHeight="1">
      <c r="A83" s="21" t="s">
        <v>282</v>
      </c>
      <c r="B83" s="6" t="s">
        <v>283</v>
      </c>
      <c r="C83" s="7" t="s">
        <v>23</v>
      </c>
      <c r="D83" s="23">
        <v>2.0</v>
      </c>
      <c r="E83" s="7" t="s">
        <v>17</v>
      </c>
      <c r="F83" s="24" t="s">
        <v>24</v>
      </c>
      <c r="G83" s="26">
        <v>46353.0</v>
      </c>
      <c r="H83" s="28">
        <f t="shared" si="9"/>
        <v>46354</v>
      </c>
      <c r="I83" s="7" t="s">
        <v>147</v>
      </c>
      <c r="J83" s="39"/>
      <c r="K83" s="6" t="s">
        <v>284</v>
      </c>
    </row>
    <row r="84" ht="22.5" customHeight="1">
      <c r="A84" s="21" t="s">
        <v>285</v>
      </c>
      <c r="B84" s="6" t="s">
        <v>286</v>
      </c>
      <c r="C84" s="7" t="s">
        <v>23</v>
      </c>
      <c r="D84" s="23">
        <v>2.0</v>
      </c>
      <c r="E84" s="7" t="s">
        <v>17</v>
      </c>
      <c r="F84" s="24" t="s">
        <v>27</v>
      </c>
      <c r="G84" s="26">
        <v>46354.0</v>
      </c>
      <c r="H84" s="28">
        <f t="shared" si="9"/>
        <v>46355</v>
      </c>
      <c r="I84" s="7" t="s">
        <v>147</v>
      </c>
      <c r="J84" s="39"/>
      <c r="K84" s="6" t="s">
        <v>287</v>
      </c>
    </row>
    <row r="85" ht="22.5" customHeight="1">
      <c r="A85" s="21" t="s">
        <v>288</v>
      </c>
      <c r="B85" s="6" t="s">
        <v>289</v>
      </c>
      <c r="C85" s="7" t="s">
        <v>23</v>
      </c>
      <c r="D85" s="23">
        <v>2.0</v>
      </c>
      <c r="E85" s="7" t="s">
        <v>17</v>
      </c>
      <c r="F85" s="24" t="s">
        <v>18</v>
      </c>
      <c r="G85" s="29">
        <v>46357.0</v>
      </c>
      <c r="H85" s="28">
        <f t="shared" si="9"/>
        <v>46358</v>
      </c>
      <c r="I85" s="7" t="s">
        <v>147</v>
      </c>
      <c r="J85" s="39"/>
      <c r="K85" s="6" t="s">
        <v>290</v>
      </c>
    </row>
    <row r="86" ht="22.5" customHeight="1">
      <c r="A86" s="21" t="s">
        <v>291</v>
      </c>
      <c r="B86" s="6" t="s">
        <v>292</v>
      </c>
      <c r="C86" s="7" t="s">
        <v>23</v>
      </c>
      <c r="D86" s="23">
        <v>1.0</v>
      </c>
      <c r="E86" s="7" t="s">
        <v>17</v>
      </c>
      <c r="F86" s="24" t="s">
        <v>27</v>
      </c>
      <c r="G86" s="29">
        <v>46358.0</v>
      </c>
      <c r="H86" s="28">
        <f t="shared" si="9"/>
        <v>46358</v>
      </c>
      <c r="I86" s="7" t="s">
        <v>147</v>
      </c>
      <c r="J86" s="39"/>
      <c r="K86" s="6" t="s">
        <v>293</v>
      </c>
    </row>
    <row r="87" ht="22.5" customHeight="1">
      <c r="A87" s="21" t="s">
        <v>294</v>
      </c>
      <c r="B87" s="6" t="s">
        <v>295</v>
      </c>
      <c r="C87" s="33" t="s">
        <v>23</v>
      </c>
      <c r="D87" s="23">
        <v>1.0</v>
      </c>
      <c r="E87" s="7" t="s">
        <v>17</v>
      </c>
      <c r="F87" s="24" t="s">
        <v>18</v>
      </c>
      <c r="G87" s="29">
        <v>46359.0</v>
      </c>
      <c r="H87" s="28">
        <f t="shared" si="9"/>
        <v>46359</v>
      </c>
      <c r="I87" s="33" t="s">
        <v>147</v>
      </c>
      <c r="J87" s="16" t="s">
        <v>296</v>
      </c>
      <c r="K87" s="17" t="s">
        <v>128</v>
      </c>
    </row>
    <row r="88" ht="22.5" customHeight="1">
      <c r="A88" s="21" t="s">
        <v>297</v>
      </c>
      <c r="B88" s="6" t="s">
        <v>298</v>
      </c>
      <c r="C88" s="48" t="s">
        <v>23</v>
      </c>
      <c r="D88" s="23">
        <v>1.0</v>
      </c>
      <c r="E88" s="49" t="s">
        <v>196</v>
      </c>
      <c r="F88" s="24" t="s">
        <v>18</v>
      </c>
      <c r="G88" s="29">
        <v>46360.0</v>
      </c>
      <c r="H88" s="50">
        <f t="shared" si="9"/>
        <v>46366</v>
      </c>
      <c r="I88" s="51" t="s">
        <v>147</v>
      </c>
      <c r="J88" s="52" t="s">
        <v>299</v>
      </c>
      <c r="K88" s="6" t="s">
        <v>131</v>
      </c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ht="22.5" customHeight="1">
      <c r="A89" s="21" t="s">
        <v>300</v>
      </c>
      <c r="B89" s="6" t="s">
        <v>301</v>
      </c>
      <c r="C89" s="40" t="s">
        <v>23</v>
      </c>
      <c r="D89" s="23">
        <v>1.0</v>
      </c>
      <c r="E89" s="41" t="s">
        <v>17</v>
      </c>
      <c r="F89" s="24" t="s">
        <v>18</v>
      </c>
      <c r="G89" s="29">
        <v>46361.0</v>
      </c>
      <c r="H89" s="54">
        <f t="shared" si="9"/>
        <v>46361</v>
      </c>
      <c r="I89" s="55" t="s">
        <v>147</v>
      </c>
      <c r="J89" s="56" t="s">
        <v>299</v>
      </c>
      <c r="K89" s="6" t="s">
        <v>302</v>
      </c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ht="22.5" customHeight="1">
      <c r="A90" s="5" t="s">
        <v>303</v>
      </c>
      <c r="B90" s="6" t="s">
        <v>304</v>
      </c>
      <c r="C90" s="57" t="s">
        <v>140</v>
      </c>
      <c r="D90" s="34"/>
      <c r="E90" s="58"/>
      <c r="F90" s="24" t="s">
        <v>18</v>
      </c>
      <c r="G90" s="29">
        <v>46362.0</v>
      </c>
      <c r="H90" s="59"/>
      <c r="I90" s="60" t="s">
        <v>141</v>
      </c>
      <c r="J90" s="52" t="s">
        <v>305</v>
      </c>
      <c r="K90" s="6" t="s">
        <v>306</v>
      </c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ht="22.5" customHeight="1">
      <c r="A91" s="21" t="s">
        <v>307</v>
      </c>
      <c r="B91" s="6" t="s">
        <v>308</v>
      </c>
      <c r="C91" s="37" t="s">
        <v>16</v>
      </c>
      <c r="D91" s="23">
        <v>40.0</v>
      </c>
      <c r="E91" s="61" t="s">
        <v>17</v>
      </c>
      <c r="F91" s="24" t="s">
        <v>18</v>
      </c>
      <c r="G91" s="42">
        <v>46364.0</v>
      </c>
      <c r="H91" s="62">
        <f t="shared" ref="H91:H111" si="10">IF(OR(C91="Hito",G91="",D91="",E91=""),"",IF(E91="Días",G91+D91-1,IF(E91="Semanas",G91+(D91*7)-1,IF(E91="Meses",EDATE(G91,D91)-1,""))))</f>
        <v>46403</v>
      </c>
      <c r="I91" s="55" t="s">
        <v>147</v>
      </c>
      <c r="J91" s="56" t="s">
        <v>305</v>
      </c>
      <c r="K91" s="6" t="s">
        <v>309</v>
      </c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ht="22.5" customHeight="1">
      <c r="A92" s="21" t="s">
        <v>310</v>
      </c>
      <c r="B92" s="6" t="s">
        <v>311</v>
      </c>
      <c r="C92" s="63" t="s">
        <v>23</v>
      </c>
      <c r="D92" s="23">
        <v>2.0</v>
      </c>
      <c r="E92" s="64" t="s">
        <v>17</v>
      </c>
      <c r="F92" s="24" t="s">
        <v>24</v>
      </c>
      <c r="G92" s="29">
        <v>46364.0</v>
      </c>
      <c r="H92" s="65">
        <f t="shared" si="10"/>
        <v>46365</v>
      </c>
      <c r="I92" s="51" t="s">
        <v>147</v>
      </c>
      <c r="J92" s="52" t="s">
        <v>312</v>
      </c>
      <c r="K92" s="6" t="s">
        <v>313</v>
      </c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ht="22.5" customHeight="1">
      <c r="A93" s="21" t="s">
        <v>314</v>
      </c>
      <c r="B93" s="6" t="s">
        <v>315</v>
      </c>
      <c r="C93" s="40" t="s">
        <v>23</v>
      </c>
      <c r="D93" s="23">
        <v>3.0</v>
      </c>
      <c r="E93" s="41" t="s">
        <v>17</v>
      </c>
      <c r="F93" s="24" t="s">
        <v>27</v>
      </c>
      <c r="G93" s="31">
        <v>46367.0</v>
      </c>
      <c r="H93" s="54">
        <f t="shared" si="10"/>
        <v>46369</v>
      </c>
      <c r="I93" s="55" t="s">
        <v>147</v>
      </c>
      <c r="J93" s="56" t="s">
        <v>316</v>
      </c>
      <c r="K93" s="6" t="s">
        <v>317</v>
      </c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ht="22.5" customHeight="1">
      <c r="A94" s="21" t="s">
        <v>318</v>
      </c>
      <c r="B94" s="6" t="s">
        <v>319</v>
      </c>
      <c r="C94" s="63" t="s">
        <v>23</v>
      </c>
      <c r="D94" s="23">
        <v>2.0</v>
      </c>
      <c r="E94" s="64" t="s">
        <v>17</v>
      </c>
      <c r="F94" s="24" t="s">
        <v>24</v>
      </c>
      <c r="G94" s="26">
        <v>46371.0</v>
      </c>
      <c r="H94" s="65">
        <f t="shared" si="10"/>
        <v>46372</v>
      </c>
      <c r="I94" s="51" t="s">
        <v>147</v>
      </c>
      <c r="J94" s="52" t="s">
        <v>320</v>
      </c>
      <c r="K94" s="6" t="s">
        <v>321</v>
      </c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ht="22.5" customHeight="1">
      <c r="A95" s="21" t="s">
        <v>322</v>
      </c>
      <c r="B95" s="6" t="s">
        <v>323</v>
      </c>
      <c r="C95" s="40" t="s">
        <v>23</v>
      </c>
      <c r="D95" s="23">
        <v>2.0</v>
      </c>
      <c r="E95" s="41" t="s">
        <v>17</v>
      </c>
      <c r="F95" s="24" t="s">
        <v>18</v>
      </c>
      <c r="G95" s="26">
        <v>46373.0</v>
      </c>
      <c r="H95" s="54">
        <f t="shared" si="10"/>
        <v>46374</v>
      </c>
      <c r="I95" s="55" t="s">
        <v>147</v>
      </c>
      <c r="J95" s="56" t="s">
        <v>324</v>
      </c>
      <c r="K95" s="6" t="s">
        <v>325</v>
      </c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ht="22.5" customHeight="1">
      <c r="A96" s="21" t="s">
        <v>326</v>
      </c>
      <c r="B96" s="6" t="s">
        <v>327</v>
      </c>
      <c r="C96" s="63" t="s">
        <v>23</v>
      </c>
      <c r="D96" s="23">
        <v>2.0</v>
      </c>
      <c r="E96" s="64" t="s">
        <v>17</v>
      </c>
      <c r="F96" s="24" t="s">
        <v>18</v>
      </c>
      <c r="G96" s="26">
        <v>46375.0</v>
      </c>
      <c r="H96" s="65">
        <f t="shared" si="10"/>
        <v>46376</v>
      </c>
      <c r="I96" s="51" t="s">
        <v>147</v>
      </c>
      <c r="J96" s="52" t="s">
        <v>328</v>
      </c>
      <c r="K96" s="6" t="s">
        <v>329</v>
      </c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ht="22.5" customHeight="1">
      <c r="A97" s="21" t="s">
        <v>330</v>
      </c>
      <c r="B97" s="6" t="s">
        <v>331</v>
      </c>
      <c r="C97" s="40" t="s">
        <v>23</v>
      </c>
      <c r="D97" s="23">
        <v>2.0</v>
      </c>
      <c r="E97" s="41" t="s">
        <v>17</v>
      </c>
      <c r="F97" s="24" t="s">
        <v>27</v>
      </c>
      <c r="G97" s="26">
        <v>46378.0</v>
      </c>
      <c r="H97" s="54">
        <f t="shared" si="10"/>
        <v>46379</v>
      </c>
      <c r="I97" s="55" t="s">
        <v>147</v>
      </c>
      <c r="J97" s="56" t="s">
        <v>332</v>
      </c>
      <c r="K97" s="6" t="s">
        <v>333</v>
      </c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ht="22.5" customHeight="1">
      <c r="A98" s="21" t="s">
        <v>334</v>
      </c>
      <c r="B98" s="6" t="s">
        <v>335</v>
      </c>
      <c r="C98" s="40" t="s">
        <v>23</v>
      </c>
      <c r="D98" s="23">
        <v>3.0</v>
      </c>
      <c r="E98" s="61" t="s">
        <v>17</v>
      </c>
      <c r="F98" s="24" t="s">
        <v>24</v>
      </c>
      <c r="G98" s="26">
        <v>46381.0</v>
      </c>
      <c r="H98" s="66">
        <f t="shared" si="10"/>
        <v>46383</v>
      </c>
      <c r="I98" s="55" t="s">
        <v>147</v>
      </c>
      <c r="J98" s="67"/>
      <c r="K98" s="6" t="s">
        <v>336</v>
      </c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ht="22.5" customHeight="1">
      <c r="A99" s="21" t="s">
        <v>337</v>
      </c>
      <c r="B99" s="6" t="s">
        <v>262</v>
      </c>
      <c r="C99" s="40" t="s">
        <v>23</v>
      </c>
      <c r="D99" s="23">
        <v>3.0</v>
      </c>
      <c r="E99" s="41" t="s">
        <v>17</v>
      </c>
      <c r="F99" s="24" t="s">
        <v>18</v>
      </c>
      <c r="G99" s="26">
        <v>46386.0</v>
      </c>
      <c r="H99" s="68">
        <f t="shared" si="10"/>
        <v>46388</v>
      </c>
      <c r="I99" s="55" t="s">
        <v>147</v>
      </c>
      <c r="J99" s="69"/>
      <c r="K99" s="6" t="s">
        <v>338</v>
      </c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ht="22.5" customHeight="1">
      <c r="A100" s="21" t="s">
        <v>339</v>
      </c>
      <c r="B100" s="6" t="s">
        <v>340</v>
      </c>
      <c r="C100" s="40" t="s">
        <v>23</v>
      </c>
      <c r="D100" s="23">
        <v>1.0</v>
      </c>
      <c r="E100" s="41" t="s">
        <v>17</v>
      </c>
      <c r="F100" s="24" t="s">
        <v>18</v>
      </c>
      <c r="G100" s="26">
        <v>46387.0</v>
      </c>
      <c r="H100" s="70">
        <f t="shared" si="10"/>
        <v>46387</v>
      </c>
      <c r="I100" s="55" t="s">
        <v>147</v>
      </c>
      <c r="J100" s="67"/>
      <c r="K100" s="6" t="s">
        <v>341</v>
      </c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ht="22.5" customHeight="1">
      <c r="A101" s="21" t="s">
        <v>342</v>
      </c>
      <c r="B101" s="6" t="s">
        <v>343</v>
      </c>
      <c r="C101" s="40" t="s">
        <v>23</v>
      </c>
      <c r="D101" s="23">
        <v>2.0</v>
      </c>
      <c r="E101" s="41" t="s">
        <v>17</v>
      </c>
      <c r="F101" s="24" t="s">
        <v>18</v>
      </c>
      <c r="G101" s="29">
        <v>46390.0</v>
      </c>
      <c r="H101" s="68">
        <f t="shared" si="10"/>
        <v>46391</v>
      </c>
      <c r="I101" s="55" t="s">
        <v>147</v>
      </c>
      <c r="J101" s="69"/>
      <c r="K101" s="6" t="s">
        <v>344</v>
      </c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ht="22.5" customHeight="1">
      <c r="A102" s="21" t="s">
        <v>345</v>
      </c>
      <c r="B102" s="6" t="s">
        <v>346</v>
      </c>
      <c r="C102" s="40" t="s">
        <v>23</v>
      </c>
      <c r="D102" s="23">
        <v>2.0</v>
      </c>
      <c r="E102" s="41" t="s">
        <v>17</v>
      </c>
      <c r="F102" s="24" t="s">
        <v>18</v>
      </c>
      <c r="G102" s="29">
        <v>46392.0</v>
      </c>
      <c r="H102" s="70">
        <f t="shared" si="10"/>
        <v>46393</v>
      </c>
      <c r="I102" s="55" t="s">
        <v>147</v>
      </c>
      <c r="J102" s="67"/>
      <c r="K102" s="6" t="s">
        <v>347</v>
      </c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ht="22.5" customHeight="1">
      <c r="A103" s="21" t="s">
        <v>348</v>
      </c>
      <c r="B103" s="6" t="s">
        <v>349</v>
      </c>
      <c r="C103" s="40" t="s">
        <v>23</v>
      </c>
      <c r="D103" s="23">
        <v>2.0</v>
      </c>
      <c r="E103" s="41" t="s">
        <v>17</v>
      </c>
      <c r="F103" s="24" t="s">
        <v>24</v>
      </c>
      <c r="G103" s="29">
        <v>46394.0</v>
      </c>
      <c r="H103" s="68">
        <f t="shared" si="10"/>
        <v>46395</v>
      </c>
      <c r="I103" s="55" t="s">
        <v>147</v>
      </c>
      <c r="J103" s="69"/>
      <c r="K103" s="6" t="s">
        <v>350</v>
      </c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ht="22.5" customHeight="1">
      <c r="A104" s="21" t="s">
        <v>351</v>
      </c>
      <c r="B104" s="6" t="s">
        <v>352</v>
      </c>
      <c r="C104" s="40" t="s">
        <v>23</v>
      </c>
      <c r="D104" s="23">
        <v>2.0</v>
      </c>
      <c r="E104" s="41" t="s">
        <v>17</v>
      </c>
      <c r="F104" s="24" t="s">
        <v>24</v>
      </c>
      <c r="G104" s="29">
        <v>46396.0</v>
      </c>
      <c r="H104" s="70">
        <f t="shared" si="10"/>
        <v>46397</v>
      </c>
      <c r="I104" s="55" t="s">
        <v>147</v>
      </c>
      <c r="J104" s="67"/>
      <c r="K104" s="6" t="s">
        <v>353</v>
      </c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ht="22.5" customHeight="1">
      <c r="A105" s="21" t="s">
        <v>354</v>
      </c>
      <c r="B105" s="6" t="s">
        <v>355</v>
      </c>
      <c r="C105" s="40" t="s">
        <v>23</v>
      </c>
      <c r="D105" s="23">
        <v>2.0</v>
      </c>
      <c r="E105" s="41" t="s">
        <v>17</v>
      </c>
      <c r="F105" s="24" t="s">
        <v>27</v>
      </c>
      <c r="G105" s="29">
        <v>46399.0</v>
      </c>
      <c r="H105" s="68">
        <f t="shared" si="10"/>
        <v>46400</v>
      </c>
      <c r="I105" s="55" t="s">
        <v>147</v>
      </c>
      <c r="J105" s="69"/>
      <c r="K105" s="6" t="s">
        <v>356</v>
      </c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ht="22.5" customHeight="1">
      <c r="A106" s="21" t="s">
        <v>357</v>
      </c>
      <c r="B106" s="6" t="s">
        <v>358</v>
      </c>
      <c r="C106" s="40" t="s">
        <v>23</v>
      </c>
      <c r="D106" s="23">
        <v>1.0</v>
      </c>
      <c r="E106" s="41" t="s">
        <v>17</v>
      </c>
      <c r="F106" s="24" t="s">
        <v>24</v>
      </c>
      <c r="G106" s="29">
        <v>46399.0</v>
      </c>
      <c r="H106" s="70">
        <f t="shared" si="10"/>
        <v>46399</v>
      </c>
      <c r="I106" s="55" t="s">
        <v>147</v>
      </c>
      <c r="J106" s="67"/>
      <c r="K106" s="6" t="s">
        <v>359</v>
      </c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ht="22.5" customHeight="1">
      <c r="A107" s="21" t="s">
        <v>360</v>
      </c>
      <c r="B107" s="6" t="s">
        <v>361</v>
      </c>
      <c r="C107" s="40" t="s">
        <v>23</v>
      </c>
      <c r="D107" s="23">
        <v>1.0</v>
      </c>
      <c r="E107" s="41" t="s">
        <v>17</v>
      </c>
      <c r="F107" s="24" t="s">
        <v>27</v>
      </c>
      <c r="G107" s="26">
        <v>46400.0</v>
      </c>
      <c r="H107" s="68">
        <f t="shared" si="10"/>
        <v>46400</v>
      </c>
      <c r="I107" s="55" t="s">
        <v>147</v>
      </c>
      <c r="J107" s="69"/>
      <c r="K107" s="6" t="s">
        <v>362</v>
      </c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ht="22.5" customHeight="1">
      <c r="A108" s="21" t="s">
        <v>363</v>
      </c>
      <c r="B108" s="6" t="s">
        <v>364</v>
      </c>
      <c r="C108" s="40" t="s">
        <v>23</v>
      </c>
      <c r="D108" s="23">
        <v>1.0</v>
      </c>
      <c r="E108" s="41" t="s">
        <v>17</v>
      </c>
      <c r="F108" s="24" t="s">
        <v>27</v>
      </c>
      <c r="G108" s="26">
        <v>46400.0</v>
      </c>
      <c r="H108" s="70">
        <f t="shared" si="10"/>
        <v>46400</v>
      </c>
      <c r="I108" s="55" t="s">
        <v>147</v>
      </c>
      <c r="J108" s="67"/>
      <c r="K108" s="6" t="s">
        <v>365</v>
      </c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ht="22.5" customHeight="1">
      <c r="A109" s="21" t="s">
        <v>366</v>
      </c>
      <c r="B109" s="6" t="s">
        <v>367</v>
      </c>
      <c r="C109" s="40" t="s">
        <v>23</v>
      </c>
      <c r="D109" s="23">
        <v>1.0</v>
      </c>
      <c r="E109" s="41" t="s">
        <v>17</v>
      </c>
      <c r="F109" s="24" t="s">
        <v>27</v>
      </c>
      <c r="G109" s="26">
        <v>46401.0</v>
      </c>
      <c r="H109" s="68">
        <f t="shared" si="10"/>
        <v>46401</v>
      </c>
      <c r="I109" s="55" t="s">
        <v>147</v>
      </c>
      <c r="J109" s="69"/>
      <c r="K109" s="6" t="s">
        <v>368</v>
      </c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ht="22.5" customHeight="1">
      <c r="A110" s="21" t="s">
        <v>369</v>
      </c>
      <c r="B110" s="6" t="s">
        <v>370</v>
      </c>
      <c r="C110" s="33" t="s">
        <v>23</v>
      </c>
      <c r="D110" s="23">
        <v>1.0</v>
      </c>
      <c r="E110" s="7" t="s">
        <v>17</v>
      </c>
      <c r="F110" s="24" t="s">
        <v>18</v>
      </c>
      <c r="G110" s="26">
        <v>46401.0</v>
      </c>
      <c r="H110" s="28">
        <f t="shared" si="10"/>
        <v>46401</v>
      </c>
      <c r="I110" s="7" t="s">
        <v>147</v>
      </c>
      <c r="J110" s="16" t="s">
        <v>299</v>
      </c>
      <c r="K110" s="17" t="s">
        <v>371</v>
      </c>
    </row>
    <row r="111" ht="22.5" customHeight="1">
      <c r="A111" s="21" t="s">
        <v>372</v>
      </c>
      <c r="B111" s="6" t="s">
        <v>373</v>
      </c>
      <c r="C111" s="40" t="s">
        <v>23</v>
      </c>
      <c r="D111" s="23">
        <v>1.0</v>
      </c>
      <c r="E111" s="61" t="s">
        <v>17</v>
      </c>
      <c r="F111" s="24" t="s">
        <v>27</v>
      </c>
      <c r="G111" s="26">
        <v>46402.0</v>
      </c>
      <c r="H111" s="28">
        <f t="shared" si="10"/>
        <v>46402</v>
      </c>
      <c r="I111" s="7" t="s">
        <v>147</v>
      </c>
      <c r="J111" s="39"/>
      <c r="K111" s="6" t="s">
        <v>374</v>
      </c>
    </row>
    <row r="112" ht="22.5" customHeight="1">
      <c r="A112" s="5" t="s">
        <v>375</v>
      </c>
      <c r="B112" s="6" t="s">
        <v>376</v>
      </c>
      <c r="C112" s="37" t="s">
        <v>140</v>
      </c>
      <c r="D112" s="34"/>
      <c r="E112" s="71"/>
      <c r="F112" s="24" t="s">
        <v>18</v>
      </c>
      <c r="G112" s="26">
        <v>46402.0</v>
      </c>
      <c r="H112" s="36"/>
      <c r="I112" s="7" t="s">
        <v>141</v>
      </c>
      <c r="J112" s="39"/>
      <c r="K112" s="17" t="s">
        <v>377</v>
      </c>
    </row>
    <row r="113" ht="22.5" customHeight="1">
      <c r="A113" s="5">
        <v>8.0</v>
      </c>
      <c r="B113" s="6" t="s">
        <v>378</v>
      </c>
      <c r="C113" s="7" t="s">
        <v>16</v>
      </c>
      <c r="D113" s="23">
        <v>19.0</v>
      </c>
      <c r="E113" s="7" t="s">
        <v>17</v>
      </c>
      <c r="F113" s="24" t="s">
        <v>18</v>
      </c>
      <c r="G113" s="26">
        <v>46435.0</v>
      </c>
      <c r="H113" s="28">
        <f t="shared" ref="H113:H123" si="11">IF(OR(C113="Hito",G113="",D113="",E113=""),"",IF(E113="Días",G113+D113-1,IF(E113="Semanas",G113+(D113*7)-1,IF(E113="Meses",EDATE(G113,D113)-1,""))))</f>
        <v>46453</v>
      </c>
      <c r="I113" s="7" t="s">
        <v>147</v>
      </c>
      <c r="J113" s="16" t="s">
        <v>299</v>
      </c>
      <c r="K113" s="17" t="s">
        <v>379</v>
      </c>
    </row>
    <row r="114" ht="22.5" customHeight="1">
      <c r="A114" s="5">
        <v>8.1</v>
      </c>
      <c r="B114" s="6" t="s">
        <v>380</v>
      </c>
      <c r="C114" s="7" t="s">
        <v>23</v>
      </c>
      <c r="D114" s="23">
        <v>2.0</v>
      </c>
      <c r="E114" s="7" t="s">
        <v>17</v>
      </c>
      <c r="F114" s="24" t="s">
        <v>24</v>
      </c>
      <c r="G114" s="26">
        <v>46435.0</v>
      </c>
      <c r="H114" s="28">
        <f t="shared" si="11"/>
        <v>46436</v>
      </c>
      <c r="I114" s="7" t="s">
        <v>147</v>
      </c>
      <c r="J114" s="16" t="s">
        <v>305</v>
      </c>
      <c r="K114" s="17" t="s">
        <v>381</v>
      </c>
    </row>
    <row r="115" ht="22.5" customHeight="1">
      <c r="A115" s="5">
        <v>8.2</v>
      </c>
      <c r="B115" s="6" t="s">
        <v>382</v>
      </c>
      <c r="C115" s="7" t="s">
        <v>23</v>
      </c>
      <c r="D115" s="23">
        <v>2.0</v>
      </c>
      <c r="E115" s="7" t="s">
        <v>17</v>
      </c>
      <c r="F115" s="24" t="s">
        <v>27</v>
      </c>
      <c r="G115" s="26">
        <v>46437.0</v>
      </c>
      <c r="H115" s="28">
        <f t="shared" si="11"/>
        <v>46438</v>
      </c>
      <c r="I115" s="7" t="s">
        <v>147</v>
      </c>
      <c r="J115" s="16" t="s">
        <v>305</v>
      </c>
      <c r="K115" s="17" t="s">
        <v>383</v>
      </c>
    </row>
    <row r="116" ht="22.5" customHeight="1">
      <c r="A116" s="5">
        <v>8.3</v>
      </c>
      <c r="B116" s="6" t="s">
        <v>384</v>
      </c>
      <c r="C116" s="7" t="s">
        <v>23</v>
      </c>
      <c r="D116" s="23">
        <v>1.0</v>
      </c>
      <c r="E116" s="7" t="s">
        <v>17</v>
      </c>
      <c r="F116" s="24" t="s">
        <v>24</v>
      </c>
      <c r="G116" s="26">
        <v>46438.0</v>
      </c>
      <c r="H116" s="28">
        <f t="shared" si="11"/>
        <v>46438</v>
      </c>
      <c r="I116" s="7" t="s">
        <v>147</v>
      </c>
      <c r="J116" s="16" t="s">
        <v>312</v>
      </c>
      <c r="K116" s="17" t="s">
        <v>385</v>
      </c>
    </row>
    <row r="117" ht="22.5" customHeight="1">
      <c r="A117" s="5">
        <v>8.4</v>
      </c>
      <c r="B117" s="6" t="s">
        <v>386</v>
      </c>
      <c r="C117" s="7" t="s">
        <v>23</v>
      </c>
      <c r="D117" s="23">
        <v>2.0</v>
      </c>
      <c r="E117" s="7" t="s">
        <v>17</v>
      </c>
      <c r="F117" s="24" t="s">
        <v>18</v>
      </c>
      <c r="G117" s="26">
        <v>46441.0</v>
      </c>
      <c r="H117" s="28">
        <f t="shared" si="11"/>
        <v>46442</v>
      </c>
      <c r="I117" s="7" t="s">
        <v>147</v>
      </c>
      <c r="J117" s="16" t="s">
        <v>316</v>
      </c>
      <c r="K117" s="17" t="s">
        <v>387</v>
      </c>
    </row>
    <row r="118" ht="22.5" customHeight="1">
      <c r="A118" s="5">
        <v>8.5</v>
      </c>
      <c r="B118" s="6" t="s">
        <v>388</v>
      </c>
      <c r="C118" s="7" t="s">
        <v>23</v>
      </c>
      <c r="D118" s="23">
        <v>2.0</v>
      </c>
      <c r="E118" s="7" t="s">
        <v>17</v>
      </c>
      <c r="F118" s="24" t="s">
        <v>18</v>
      </c>
      <c r="G118" s="26">
        <v>46443.0</v>
      </c>
      <c r="H118" s="28">
        <f t="shared" si="11"/>
        <v>46444</v>
      </c>
      <c r="I118" s="7" t="s">
        <v>147</v>
      </c>
      <c r="J118" s="16" t="s">
        <v>320</v>
      </c>
      <c r="K118" s="17" t="s">
        <v>389</v>
      </c>
    </row>
    <row r="119" ht="22.5" customHeight="1">
      <c r="A119" s="5">
        <v>8.6</v>
      </c>
      <c r="B119" s="6" t="s">
        <v>390</v>
      </c>
      <c r="C119" s="7" t="s">
        <v>23</v>
      </c>
      <c r="D119" s="23">
        <v>2.0</v>
      </c>
      <c r="E119" s="7" t="s">
        <v>17</v>
      </c>
      <c r="F119" s="24" t="s">
        <v>27</v>
      </c>
      <c r="G119" s="26">
        <v>46445.0</v>
      </c>
      <c r="H119" s="28">
        <f t="shared" si="11"/>
        <v>46446</v>
      </c>
      <c r="I119" s="7" t="s">
        <v>147</v>
      </c>
      <c r="J119" s="16" t="s">
        <v>324</v>
      </c>
      <c r="K119" s="17" t="s">
        <v>391</v>
      </c>
    </row>
    <row r="120" ht="22.5" customHeight="1">
      <c r="A120" s="5">
        <v>8.7</v>
      </c>
      <c r="B120" s="6" t="s">
        <v>392</v>
      </c>
      <c r="C120" s="7" t="s">
        <v>23</v>
      </c>
      <c r="D120" s="23">
        <v>2.0</v>
      </c>
      <c r="E120" s="7" t="s">
        <v>17</v>
      </c>
      <c r="F120" s="24" t="s">
        <v>24</v>
      </c>
      <c r="G120" s="29">
        <v>46448.0</v>
      </c>
      <c r="H120" s="28">
        <f t="shared" si="11"/>
        <v>46449</v>
      </c>
      <c r="I120" s="7" t="s">
        <v>147</v>
      </c>
      <c r="J120" s="16" t="s">
        <v>328</v>
      </c>
      <c r="K120" s="17" t="s">
        <v>393</v>
      </c>
    </row>
    <row r="121" ht="22.5" customHeight="1">
      <c r="A121" s="5">
        <v>8.8</v>
      </c>
      <c r="B121" s="6" t="s">
        <v>394</v>
      </c>
      <c r="C121" s="7" t="s">
        <v>23</v>
      </c>
      <c r="D121" s="23">
        <v>2.0</v>
      </c>
      <c r="E121" s="7" t="s">
        <v>17</v>
      </c>
      <c r="F121" s="24" t="s">
        <v>18</v>
      </c>
      <c r="G121" s="29">
        <v>46450.0</v>
      </c>
      <c r="H121" s="28">
        <f t="shared" si="11"/>
        <v>46451</v>
      </c>
      <c r="I121" s="7" t="s">
        <v>147</v>
      </c>
      <c r="J121" s="16" t="s">
        <v>332</v>
      </c>
      <c r="K121" s="17" t="s">
        <v>128</v>
      </c>
    </row>
    <row r="122" ht="22.5" customHeight="1">
      <c r="A122" s="5">
        <v>8.9</v>
      </c>
      <c r="B122" s="6" t="s">
        <v>395</v>
      </c>
      <c r="C122" s="7" t="s">
        <v>23</v>
      </c>
      <c r="D122" s="23">
        <v>1.0</v>
      </c>
      <c r="E122" s="7" t="s">
        <v>17</v>
      </c>
      <c r="F122" s="24" t="s">
        <v>18</v>
      </c>
      <c r="G122" s="29">
        <v>46451.0</v>
      </c>
      <c r="H122" s="28">
        <f t="shared" si="11"/>
        <v>46451</v>
      </c>
      <c r="I122" s="7" t="s">
        <v>147</v>
      </c>
      <c r="J122" s="39"/>
      <c r="K122" s="17" t="s">
        <v>396</v>
      </c>
    </row>
    <row r="123" ht="22.5" customHeight="1">
      <c r="A123" s="5">
        <v>8.1</v>
      </c>
      <c r="B123" s="6" t="s">
        <v>397</v>
      </c>
      <c r="C123" s="7" t="s">
        <v>23</v>
      </c>
      <c r="D123" s="23">
        <v>1.0</v>
      </c>
      <c r="E123" s="7" t="s">
        <v>17</v>
      </c>
      <c r="F123" s="24" t="s">
        <v>18</v>
      </c>
      <c r="G123" s="29">
        <v>46452.0</v>
      </c>
      <c r="H123" s="28">
        <f t="shared" si="11"/>
        <v>46452</v>
      </c>
      <c r="I123" s="7" t="s">
        <v>147</v>
      </c>
      <c r="J123" s="39"/>
      <c r="K123" s="17" t="s">
        <v>398</v>
      </c>
    </row>
    <row r="124" ht="22.5" customHeight="1">
      <c r="A124" s="5" t="s">
        <v>399</v>
      </c>
      <c r="B124" s="6" t="s">
        <v>400</v>
      </c>
      <c r="C124" s="7" t="s">
        <v>140</v>
      </c>
      <c r="D124" s="44"/>
      <c r="E124" s="45"/>
      <c r="F124" s="24" t="s">
        <v>18</v>
      </c>
      <c r="G124" s="29">
        <v>46452.0</v>
      </c>
      <c r="H124" s="36"/>
      <c r="I124" s="7" t="s">
        <v>141</v>
      </c>
      <c r="J124" s="39"/>
      <c r="K124" s="17" t="s">
        <v>401</v>
      </c>
    </row>
    <row r="125" ht="22.5" customHeight="1">
      <c r="A125" s="5">
        <v>9.0</v>
      </c>
      <c r="B125" s="6" t="s">
        <v>402</v>
      </c>
      <c r="C125" s="7" t="s">
        <v>16</v>
      </c>
      <c r="D125" s="23">
        <v>13.0</v>
      </c>
      <c r="E125" s="7" t="s">
        <v>17</v>
      </c>
      <c r="F125" s="24" t="s">
        <v>18</v>
      </c>
      <c r="G125" s="42">
        <v>46455.0</v>
      </c>
      <c r="H125" s="28">
        <f t="shared" ref="H125:H135" si="12">IF(OR(C125="Hito",G125="",D125="",E125=""),"",IF(E125="Días",G125+D125-1,IF(E125="Semanas",G125+(D125*7)-1,IF(E125="Meses",EDATE(G125,D125)-1,""))))</f>
        <v>46467</v>
      </c>
      <c r="I125" s="7" t="s">
        <v>147</v>
      </c>
      <c r="J125" s="39"/>
      <c r="K125" s="17" t="s">
        <v>403</v>
      </c>
    </row>
    <row r="126" ht="22.5" customHeight="1">
      <c r="A126" s="5">
        <v>9.1</v>
      </c>
      <c r="B126" s="6" t="s">
        <v>404</v>
      </c>
      <c r="C126" s="7" t="s">
        <v>23</v>
      </c>
      <c r="D126" s="23">
        <v>2.0</v>
      </c>
      <c r="E126" s="7" t="s">
        <v>17</v>
      </c>
      <c r="F126" s="24" t="s">
        <v>18</v>
      </c>
      <c r="G126" s="29">
        <v>46455.0</v>
      </c>
      <c r="H126" s="28">
        <f t="shared" si="12"/>
        <v>46456</v>
      </c>
      <c r="I126" s="7" t="s">
        <v>147</v>
      </c>
      <c r="J126" s="39"/>
      <c r="K126" s="17" t="s">
        <v>405</v>
      </c>
    </row>
    <row r="127" ht="22.5" customHeight="1">
      <c r="A127" s="30">
        <v>9.2</v>
      </c>
      <c r="B127" s="6" t="s">
        <v>406</v>
      </c>
      <c r="C127" s="33" t="s">
        <v>23</v>
      </c>
      <c r="D127" s="23">
        <v>2.0</v>
      </c>
      <c r="E127" s="7" t="s">
        <v>17</v>
      </c>
      <c r="F127" s="24" t="s">
        <v>18</v>
      </c>
      <c r="G127" s="29">
        <v>46457.0</v>
      </c>
      <c r="H127" s="28">
        <f t="shared" si="12"/>
        <v>46458</v>
      </c>
      <c r="I127" s="33" t="s">
        <v>147</v>
      </c>
      <c r="J127" s="16" t="s">
        <v>407</v>
      </c>
      <c r="K127" s="17" t="s">
        <v>408</v>
      </c>
    </row>
    <row r="128" ht="22.5" customHeight="1">
      <c r="A128" s="5">
        <v>9.3</v>
      </c>
      <c r="B128" s="6" t="s">
        <v>409</v>
      </c>
      <c r="C128" s="33" t="s">
        <v>23</v>
      </c>
      <c r="D128" s="23">
        <v>1.0</v>
      </c>
      <c r="E128" s="7" t="s">
        <v>17</v>
      </c>
      <c r="F128" s="24" t="s">
        <v>27</v>
      </c>
      <c r="G128" s="29">
        <v>46458.0</v>
      </c>
      <c r="H128" s="28">
        <f t="shared" si="12"/>
        <v>46458</v>
      </c>
      <c r="I128" s="7" t="s">
        <v>147</v>
      </c>
      <c r="J128" s="16" t="s">
        <v>410</v>
      </c>
      <c r="K128" s="17" t="s">
        <v>411</v>
      </c>
    </row>
    <row r="129" ht="22.5" customHeight="1">
      <c r="A129" s="5">
        <v>9.4</v>
      </c>
      <c r="B129" s="6" t="s">
        <v>412</v>
      </c>
      <c r="C129" s="7" t="s">
        <v>23</v>
      </c>
      <c r="D129" s="23">
        <v>1.0</v>
      </c>
      <c r="E129" s="7" t="s">
        <v>17</v>
      </c>
      <c r="F129" s="24" t="s">
        <v>24</v>
      </c>
      <c r="G129" s="26">
        <v>46459.0</v>
      </c>
      <c r="H129" s="28">
        <f t="shared" si="12"/>
        <v>46459</v>
      </c>
      <c r="I129" s="7" t="s">
        <v>147</v>
      </c>
      <c r="J129" s="16" t="s">
        <v>410</v>
      </c>
      <c r="K129" s="17" t="s">
        <v>413</v>
      </c>
    </row>
    <row r="130" ht="22.5" customHeight="1">
      <c r="A130" s="5">
        <v>9.5</v>
      </c>
      <c r="B130" s="6" t="s">
        <v>414</v>
      </c>
      <c r="C130" s="7" t="s">
        <v>23</v>
      </c>
      <c r="D130" s="23">
        <v>1.0</v>
      </c>
      <c r="E130" s="7" t="s">
        <v>17</v>
      </c>
      <c r="F130" s="24" t="s">
        <v>27</v>
      </c>
      <c r="G130" s="26">
        <v>46461.0</v>
      </c>
      <c r="H130" s="28">
        <f t="shared" si="12"/>
        <v>46461</v>
      </c>
      <c r="I130" s="7" t="s">
        <v>147</v>
      </c>
      <c r="J130" s="16" t="s">
        <v>415</v>
      </c>
      <c r="K130" s="17" t="s">
        <v>416</v>
      </c>
    </row>
    <row r="131" ht="22.5" customHeight="1">
      <c r="A131" s="5">
        <v>9.6</v>
      </c>
      <c r="B131" s="6" t="s">
        <v>417</v>
      </c>
      <c r="C131" s="7" t="s">
        <v>23</v>
      </c>
      <c r="D131" s="23">
        <v>1.0</v>
      </c>
      <c r="E131" s="7" t="s">
        <v>17</v>
      </c>
      <c r="F131" s="24" t="s">
        <v>18</v>
      </c>
      <c r="G131" s="26">
        <v>46462.0</v>
      </c>
      <c r="H131" s="28">
        <f t="shared" si="12"/>
        <v>46462</v>
      </c>
      <c r="I131" s="7" t="s">
        <v>147</v>
      </c>
      <c r="J131" s="16" t="s">
        <v>418</v>
      </c>
      <c r="K131" s="17" t="s">
        <v>419</v>
      </c>
    </row>
    <row r="132" ht="22.5" customHeight="1">
      <c r="A132" s="5">
        <v>9.7</v>
      </c>
      <c r="B132" s="6" t="s">
        <v>420</v>
      </c>
      <c r="C132" s="7" t="s">
        <v>23</v>
      </c>
      <c r="D132" s="23">
        <v>1.0</v>
      </c>
      <c r="E132" s="7" t="s">
        <v>17</v>
      </c>
      <c r="F132" s="24" t="s">
        <v>27</v>
      </c>
      <c r="G132" s="26">
        <v>46463.0</v>
      </c>
      <c r="H132" s="28">
        <f t="shared" si="12"/>
        <v>46463</v>
      </c>
      <c r="I132" s="7" t="s">
        <v>147</v>
      </c>
      <c r="J132" s="16" t="s">
        <v>421</v>
      </c>
      <c r="K132" s="17" t="s">
        <v>422</v>
      </c>
    </row>
    <row r="133" ht="22.5" customHeight="1">
      <c r="A133" s="5">
        <v>9.8</v>
      </c>
      <c r="B133" s="6" t="s">
        <v>423</v>
      </c>
      <c r="C133" s="7" t="s">
        <v>23</v>
      </c>
      <c r="D133" s="23">
        <v>1.0</v>
      </c>
      <c r="E133" s="7" t="s">
        <v>17</v>
      </c>
      <c r="F133" s="24" t="s">
        <v>18</v>
      </c>
      <c r="G133" s="26">
        <v>46464.0</v>
      </c>
      <c r="H133" s="28">
        <f t="shared" si="12"/>
        <v>46464</v>
      </c>
      <c r="I133" s="7" t="s">
        <v>147</v>
      </c>
      <c r="J133" s="16" t="s">
        <v>410</v>
      </c>
      <c r="K133" s="17" t="s">
        <v>374</v>
      </c>
    </row>
    <row r="134" ht="22.5" customHeight="1">
      <c r="A134" s="5">
        <v>9.9</v>
      </c>
      <c r="B134" s="6" t="s">
        <v>424</v>
      </c>
      <c r="C134" s="7" t="s">
        <v>23</v>
      </c>
      <c r="D134" s="23">
        <v>1.0</v>
      </c>
      <c r="E134" s="7" t="s">
        <v>17</v>
      </c>
      <c r="F134" s="24" t="s">
        <v>18</v>
      </c>
      <c r="G134" s="26">
        <v>46465.0</v>
      </c>
      <c r="H134" s="28">
        <f t="shared" si="12"/>
        <v>46465</v>
      </c>
      <c r="I134" s="7" t="s">
        <v>147</v>
      </c>
      <c r="J134" s="16" t="s">
        <v>425</v>
      </c>
      <c r="K134" s="17" t="s">
        <v>426</v>
      </c>
    </row>
    <row r="135" ht="22.5" customHeight="1">
      <c r="A135" s="5">
        <v>9.1</v>
      </c>
      <c r="B135" s="6" t="s">
        <v>427</v>
      </c>
      <c r="C135" s="7" t="s">
        <v>23</v>
      </c>
      <c r="D135" s="23">
        <v>1.0</v>
      </c>
      <c r="E135" s="7" t="s">
        <v>17</v>
      </c>
      <c r="F135" s="24" t="s">
        <v>18</v>
      </c>
      <c r="G135" s="26">
        <v>46466.0</v>
      </c>
      <c r="H135" s="28">
        <f t="shared" si="12"/>
        <v>46466</v>
      </c>
      <c r="I135" s="7" t="s">
        <v>147</v>
      </c>
      <c r="J135" s="16" t="s">
        <v>410</v>
      </c>
      <c r="K135" s="17" t="s">
        <v>428</v>
      </c>
    </row>
    <row r="136" ht="22.5" customHeight="1">
      <c r="A136" s="5" t="s">
        <v>429</v>
      </c>
      <c r="B136" s="6" t="s">
        <v>430</v>
      </c>
      <c r="C136" s="7" t="s">
        <v>140</v>
      </c>
      <c r="D136" s="34"/>
      <c r="E136" s="35"/>
      <c r="F136" s="24" t="s">
        <v>18</v>
      </c>
      <c r="G136" s="26">
        <v>46466.0</v>
      </c>
      <c r="H136" s="36"/>
      <c r="I136" s="7" t="s">
        <v>141</v>
      </c>
      <c r="J136" s="16" t="s">
        <v>431</v>
      </c>
      <c r="K136" s="17" t="s">
        <v>432</v>
      </c>
    </row>
    <row r="137" ht="22.5" customHeight="1">
      <c r="A137" s="5">
        <v>10.0</v>
      </c>
      <c r="B137" s="6" t="s">
        <v>433</v>
      </c>
      <c r="C137" s="7" t="s">
        <v>16</v>
      </c>
      <c r="D137" s="23">
        <v>7.0</v>
      </c>
      <c r="E137" s="7" t="s">
        <v>17</v>
      </c>
      <c r="F137" s="24" t="s">
        <v>18</v>
      </c>
      <c r="G137" s="26">
        <v>46467.0</v>
      </c>
      <c r="H137" s="28">
        <f t="shared" ref="H137:H145" si="13">IF(OR(C137="Hito",G137="",D137="",E137=""),"",IF(E137="Días",G137+D137-1,IF(E137="Semanas",G137+(D137*7)-1,IF(E137="Meses",EDATE(G137,D137)-1,""))))</f>
        <v>46473</v>
      </c>
      <c r="I137" s="7" t="s">
        <v>147</v>
      </c>
      <c r="J137" s="16" t="s">
        <v>434</v>
      </c>
      <c r="K137" s="17" t="s">
        <v>435</v>
      </c>
    </row>
    <row r="138" ht="22.5" customHeight="1">
      <c r="A138" s="5">
        <v>10.1</v>
      </c>
      <c r="B138" s="6" t="s">
        <v>436</v>
      </c>
      <c r="C138" s="7" t="s">
        <v>23</v>
      </c>
      <c r="D138" s="23">
        <v>1.0</v>
      </c>
      <c r="E138" s="7" t="s">
        <v>17</v>
      </c>
      <c r="F138" s="24" t="s">
        <v>27</v>
      </c>
      <c r="G138" s="26">
        <v>46467.0</v>
      </c>
      <c r="H138" s="28">
        <f t="shared" si="13"/>
        <v>46467</v>
      </c>
      <c r="I138" s="7" t="s">
        <v>147</v>
      </c>
      <c r="J138" s="16" t="s">
        <v>437</v>
      </c>
      <c r="K138" s="17" t="s">
        <v>438</v>
      </c>
    </row>
    <row r="139" ht="22.5" customHeight="1">
      <c r="A139" s="5">
        <v>10.2</v>
      </c>
      <c r="B139" s="6" t="s">
        <v>439</v>
      </c>
      <c r="C139" s="7" t="s">
        <v>23</v>
      </c>
      <c r="D139" s="23">
        <v>1.0</v>
      </c>
      <c r="E139" s="7" t="s">
        <v>17</v>
      </c>
      <c r="F139" s="24" t="s">
        <v>27</v>
      </c>
      <c r="G139" s="26">
        <v>46468.0</v>
      </c>
      <c r="H139" s="28">
        <f t="shared" si="13"/>
        <v>46468</v>
      </c>
      <c r="I139" s="7" t="s">
        <v>147</v>
      </c>
      <c r="J139" s="16" t="s">
        <v>440</v>
      </c>
      <c r="K139" s="17" t="s">
        <v>441</v>
      </c>
    </row>
    <row r="140" ht="22.5" customHeight="1">
      <c r="A140" s="5">
        <v>10.3</v>
      </c>
      <c r="B140" s="6" t="s">
        <v>442</v>
      </c>
      <c r="C140" s="7" t="s">
        <v>23</v>
      </c>
      <c r="D140" s="23">
        <v>1.0</v>
      </c>
      <c r="E140" s="7" t="s">
        <v>17</v>
      </c>
      <c r="F140" s="24" t="s">
        <v>24</v>
      </c>
      <c r="G140" s="26">
        <v>46468.0</v>
      </c>
      <c r="H140" s="28">
        <f t="shared" si="13"/>
        <v>46468</v>
      </c>
      <c r="I140" s="7" t="s">
        <v>147</v>
      </c>
      <c r="J140" s="16" t="s">
        <v>443</v>
      </c>
      <c r="K140" s="17" t="s">
        <v>444</v>
      </c>
    </row>
    <row r="141" ht="22.5" customHeight="1">
      <c r="A141" s="30">
        <v>10.4</v>
      </c>
      <c r="B141" s="6" t="s">
        <v>445</v>
      </c>
      <c r="C141" s="7" t="s">
        <v>23</v>
      </c>
      <c r="D141" s="23">
        <v>1.0</v>
      </c>
      <c r="E141" s="7" t="s">
        <v>17</v>
      </c>
      <c r="F141" s="24" t="s">
        <v>24</v>
      </c>
      <c r="G141" s="26">
        <v>46469.0</v>
      </c>
      <c r="H141" s="28">
        <f t="shared" si="13"/>
        <v>46469</v>
      </c>
      <c r="I141" s="7" t="s">
        <v>147</v>
      </c>
      <c r="J141" s="16" t="s">
        <v>446</v>
      </c>
      <c r="K141" s="17" t="s">
        <v>447</v>
      </c>
    </row>
    <row r="142" ht="22.5" customHeight="1">
      <c r="A142" s="30">
        <v>10.5</v>
      </c>
      <c r="B142" s="6" t="s">
        <v>448</v>
      </c>
      <c r="C142" s="33" t="s">
        <v>23</v>
      </c>
      <c r="D142" s="23">
        <v>1.0</v>
      </c>
      <c r="E142" s="7" t="s">
        <v>17</v>
      </c>
      <c r="F142" s="24" t="s">
        <v>27</v>
      </c>
      <c r="G142" s="26">
        <v>46470.0</v>
      </c>
      <c r="H142" s="28">
        <f t="shared" si="13"/>
        <v>46470</v>
      </c>
      <c r="I142" s="33" t="s">
        <v>147</v>
      </c>
      <c r="J142" s="16" t="s">
        <v>449</v>
      </c>
      <c r="K142" s="17" t="s">
        <v>160</v>
      </c>
    </row>
    <row r="143" ht="22.5" customHeight="1">
      <c r="A143" s="5">
        <v>10.6</v>
      </c>
      <c r="B143" s="6" t="s">
        <v>450</v>
      </c>
      <c r="C143" s="33" t="s">
        <v>23</v>
      </c>
      <c r="D143" s="23">
        <v>1.0</v>
      </c>
      <c r="E143" s="7" t="s">
        <v>17</v>
      </c>
      <c r="F143" s="24" t="s">
        <v>18</v>
      </c>
      <c r="G143" s="26">
        <v>46471.0</v>
      </c>
      <c r="H143" s="28">
        <f t="shared" si="13"/>
        <v>46471</v>
      </c>
      <c r="I143" s="7" t="s">
        <v>147</v>
      </c>
      <c r="J143" s="16" t="s">
        <v>451</v>
      </c>
      <c r="K143" s="17" t="s">
        <v>452</v>
      </c>
    </row>
    <row r="144" ht="22.5" customHeight="1">
      <c r="A144" s="5">
        <v>10.7</v>
      </c>
      <c r="B144" s="6" t="s">
        <v>453</v>
      </c>
      <c r="C144" s="7" t="s">
        <v>23</v>
      </c>
      <c r="D144" s="23">
        <v>1.0</v>
      </c>
      <c r="E144" s="7" t="s">
        <v>17</v>
      </c>
      <c r="F144" s="24" t="s">
        <v>18</v>
      </c>
      <c r="G144" s="26">
        <v>46472.0</v>
      </c>
      <c r="H144" s="28">
        <f t="shared" si="13"/>
        <v>46472</v>
      </c>
      <c r="I144" s="7" t="s">
        <v>147</v>
      </c>
      <c r="J144" s="16" t="s">
        <v>451</v>
      </c>
      <c r="K144" s="17" t="s">
        <v>454</v>
      </c>
    </row>
    <row r="145" ht="22.5" customHeight="1">
      <c r="A145" s="5">
        <v>10.8</v>
      </c>
      <c r="B145" s="6" t="s">
        <v>455</v>
      </c>
      <c r="C145" s="7" t="s">
        <v>23</v>
      </c>
      <c r="D145" s="23">
        <v>1.0</v>
      </c>
      <c r="E145" s="7" t="s">
        <v>17</v>
      </c>
      <c r="F145" s="24" t="s">
        <v>24</v>
      </c>
      <c r="G145" s="26">
        <v>46473.0</v>
      </c>
      <c r="H145" s="28">
        <f t="shared" si="13"/>
        <v>46473</v>
      </c>
      <c r="I145" s="7" t="s">
        <v>147</v>
      </c>
      <c r="J145" s="16" t="s">
        <v>451</v>
      </c>
      <c r="K145" s="17" t="s">
        <v>456</v>
      </c>
    </row>
    <row r="146" ht="22.5" customHeight="1">
      <c r="A146" s="5" t="s">
        <v>457</v>
      </c>
      <c r="B146" s="6" t="s">
        <v>458</v>
      </c>
      <c r="C146" s="7" t="s">
        <v>140</v>
      </c>
      <c r="D146" s="34"/>
      <c r="E146" s="35"/>
      <c r="F146" s="24" t="s">
        <v>18</v>
      </c>
      <c r="G146" s="26">
        <v>46473.0</v>
      </c>
      <c r="H146" s="36"/>
      <c r="I146" s="7" t="s">
        <v>141</v>
      </c>
      <c r="J146" s="16" t="s">
        <v>459</v>
      </c>
      <c r="K146" s="17" t="s">
        <v>460</v>
      </c>
    </row>
    <row r="147">
      <c r="A147" s="47"/>
      <c r="F147" s="72"/>
    </row>
    <row r="148">
      <c r="A148" s="47"/>
      <c r="F148" s="72"/>
    </row>
    <row r="149">
      <c r="A149" s="47"/>
      <c r="F149" s="72"/>
    </row>
    <row r="150">
      <c r="A150" s="47"/>
      <c r="F150" s="72"/>
    </row>
    <row r="151">
      <c r="A151" s="47"/>
      <c r="F151" s="72"/>
    </row>
    <row r="152">
      <c r="A152" s="47"/>
      <c r="F152" s="72"/>
    </row>
    <row r="153">
      <c r="A153" s="47"/>
      <c r="F153" s="72"/>
    </row>
    <row r="154">
      <c r="A154" s="47"/>
      <c r="F154" s="72"/>
    </row>
    <row r="155">
      <c r="A155" s="47"/>
      <c r="F155" s="72"/>
    </row>
    <row r="156">
      <c r="A156" s="47"/>
      <c r="F156" s="72"/>
    </row>
    <row r="157">
      <c r="A157" s="47"/>
      <c r="F157" s="72"/>
    </row>
    <row r="158">
      <c r="A158" s="47"/>
      <c r="F158" s="72"/>
    </row>
    <row r="159">
      <c r="A159" s="47"/>
      <c r="F159" s="72"/>
    </row>
    <row r="160">
      <c r="A160" s="47"/>
      <c r="F160" s="72"/>
    </row>
    <row r="161">
      <c r="A161" s="47"/>
      <c r="F161" s="72"/>
    </row>
    <row r="162">
      <c r="A162" s="47"/>
      <c r="F162" s="72"/>
    </row>
    <row r="163">
      <c r="A163" s="47"/>
      <c r="F163" s="72"/>
    </row>
    <row r="164">
      <c r="A164" s="47"/>
      <c r="F164" s="72"/>
    </row>
    <row r="165">
      <c r="A165" s="47"/>
      <c r="F165" s="72"/>
    </row>
    <row r="166">
      <c r="A166" s="47"/>
      <c r="F166" s="72"/>
    </row>
    <row r="167">
      <c r="A167" s="47"/>
      <c r="F167" s="72"/>
    </row>
    <row r="168">
      <c r="A168" s="47"/>
      <c r="F168" s="72"/>
    </row>
    <row r="169">
      <c r="A169" s="47"/>
      <c r="F169" s="72"/>
    </row>
    <row r="170">
      <c r="A170" s="47"/>
      <c r="F170" s="72"/>
    </row>
    <row r="171">
      <c r="A171" s="47"/>
      <c r="F171" s="72"/>
    </row>
    <row r="172">
      <c r="A172" s="47"/>
      <c r="F172" s="72"/>
    </row>
    <row r="173">
      <c r="A173" s="47"/>
      <c r="F173" s="72"/>
    </row>
    <row r="174">
      <c r="A174" s="47"/>
      <c r="F174" s="72"/>
    </row>
    <row r="175">
      <c r="A175" s="47"/>
      <c r="F175" s="72"/>
    </row>
    <row r="176">
      <c r="A176" s="47"/>
      <c r="F176" s="72"/>
    </row>
    <row r="177">
      <c r="A177" s="47"/>
      <c r="F177" s="72"/>
    </row>
    <row r="178">
      <c r="A178" s="47"/>
      <c r="F178" s="72"/>
    </row>
    <row r="179">
      <c r="A179" s="47"/>
      <c r="F179" s="72"/>
    </row>
    <row r="180">
      <c r="A180" s="47"/>
      <c r="F180" s="72"/>
    </row>
    <row r="181">
      <c r="A181" s="47"/>
      <c r="F181" s="72"/>
    </row>
    <row r="182">
      <c r="A182" s="47"/>
      <c r="F182" s="72"/>
    </row>
    <row r="183">
      <c r="A183" s="47"/>
      <c r="F183" s="72"/>
    </row>
    <row r="184">
      <c r="A184" s="47"/>
      <c r="F184" s="72"/>
    </row>
    <row r="185">
      <c r="A185" s="47"/>
      <c r="F185" s="72"/>
    </row>
    <row r="186">
      <c r="A186" s="47"/>
      <c r="F186" s="72"/>
    </row>
    <row r="187">
      <c r="A187" s="47"/>
      <c r="F187" s="72"/>
    </row>
    <row r="188">
      <c r="A188" s="47"/>
      <c r="F188" s="72"/>
    </row>
    <row r="189">
      <c r="A189" s="47"/>
      <c r="F189" s="72"/>
    </row>
    <row r="190">
      <c r="A190" s="47"/>
      <c r="F190" s="72"/>
    </row>
    <row r="191">
      <c r="A191" s="47"/>
      <c r="F191" s="72"/>
    </row>
    <row r="192">
      <c r="A192" s="47"/>
      <c r="F192" s="72"/>
    </row>
    <row r="193">
      <c r="A193" s="47"/>
      <c r="F193" s="72"/>
    </row>
    <row r="194">
      <c r="A194" s="47"/>
      <c r="F194" s="72"/>
    </row>
    <row r="195">
      <c r="A195" s="47"/>
      <c r="F195" s="72"/>
    </row>
    <row r="196">
      <c r="A196" s="47"/>
      <c r="F196" s="72"/>
    </row>
    <row r="197">
      <c r="A197" s="47"/>
      <c r="F197" s="72"/>
    </row>
    <row r="198">
      <c r="A198" s="47"/>
      <c r="F198" s="72"/>
    </row>
    <row r="199">
      <c r="A199" s="47"/>
      <c r="F199" s="72"/>
    </row>
    <row r="200">
      <c r="A200" s="47"/>
      <c r="F200" s="72"/>
    </row>
    <row r="201">
      <c r="A201" s="47"/>
      <c r="F201" s="72"/>
    </row>
    <row r="202">
      <c r="A202" s="47"/>
      <c r="F202" s="72"/>
    </row>
    <row r="203">
      <c r="A203" s="47"/>
      <c r="F203" s="72"/>
    </row>
    <row r="204">
      <c r="A204" s="47"/>
      <c r="F204" s="72"/>
    </row>
    <row r="205">
      <c r="A205" s="47"/>
      <c r="F205" s="72"/>
    </row>
    <row r="206">
      <c r="A206" s="47"/>
      <c r="F206" s="72"/>
    </row>
    <row r="207">
      <c r="A207" s="47"/>
      <c r="F207" s="72"/>
    </row>
    <row r="208">
      <c r="A208" s="47"/>
      <c r="F208" s="72"/>
    </row>
    <row r="209">
      <c r="A209" s="47"/>
      <c r="F209" s="72"/>
    </row>
    <row r="210">
      <c r="A210" s="47"/>
      <c r="F210" s="72"/>
    </row>
    <row r="211">
      <c r="A211" s="47"/>
      <c r="F211" s="72"/>
    </row>
    <row r="212">
      <c r="A212" s="47"/>
      <c r="F212" s="72"/>
    </row>
    <row r="213">
      <c r="A213" s="47"/>
      <c r="F213" s="72"/>
    </row>
    <row r="214">
      <c r="A214" s="47"/>
      <c r="F214" s="72"/>
    </row>
    <row r="215">
      <c r="A215" s="47"/>
      <c r="F215" s="72"/>
    </row>
    <row r="216">
      <c r="A216" s="47"/>
      <c r="F216" s="72"/>
    </row>
    <row r="217">
      <c r="A217" s="47"/>
      <c r="F217" s="72"/>
    </row>
    <row r="218">
      <c r="A218" s="47"/>
      <c r="F218" s="72"/>
    </row>
    <row r="219">
      <c r="A219" s="47"/>
      <c r="F219" s="72"/>
    </row>
    <row r="220">
      <c r="A220" s="47"/>
      <c r="F220" s="72"/>
    </row>
    <row r="221">
      <c r="A221" s="47"/>
      <c r="F221" s="72"/>
    </row>
    <row r="222">
      <c r="A222" s="47"/>
      <c r="F222" s="72"/>
    </row>
    <row r="223">
      <c r="A223" s="47"/>
      <c r="F223" s="72"/>
    </row>
    <row r="224">
      <c r="A224" s="47"/>
      <c r="F224" s="72"/>
    </row>
    <row r="225">
      <c r="A225" s="47"/>
      <c r="F225" s="72"/>
    </row>
    <row r="226">
      <c r="A226" s="47"/>
      <c r="F226" s="72"/>
    </row>
    <row r="227">
      <c r="A227" s="47"/>
      <c r="F227" s="72"/>
    </row>
    <row r="228">
      <c r="A228" s="47"/>
      <c r="F228" s="72"/>
    </row>
    <row r="229">
      <c r="A229" s="47"/>
      <c r="F229" s="72"/>
    </row>
    <row r="230">
      <c r="A230" s="47"/>
      <c r="F230" s="72"/>
    </row>
    <row r="231">
      <c r="A231" s="47"/>
      <c r="F231" s="72"/>
    </row>
    <row r="232">
      <c r="A232" s="47"/>
      <c r="F232" s="72"/>
    </row>
    <row r="233">
      <c r="A233" s="47"/>
      <c r="F233" s="72"/>
    </row>
    <row r="234">
      <c r="A234" s="47"/>
      <c r="F234" s="72"/>
    </row>
    <row r="235">
      <c r="A235" s="47"/>
      <c r="F235" s="72"/>
    </row>
    <row r="236">
      <c r="A236" s="47"/>
      <c r="F236" s="72"/>
    </row>
    <row r="237">
      <c r="A237" s="47"/>
      <c r="F237" s="72"/>
    </row>
    <row r="238">
      <c r="A238" s="47"/>
      <c r="F238" s="72"/>
    </row>
    <row r="239">
      <c r="A239" s="47"/>
      <c r="F239" s="72"/>
    </row>
    <row r="240">
      <c r="A240" s="47"/>
      <c r="F240" s="72"/>
    </row>
    <row r="241">
      <c r="A241" s="47"/>
      <c r="F241" s="72"/>
    </row>
    <row r="242">
      <c r="A242" s="47"/>
      <c r="F242" s="72"/>
    </row>
    <row r="243">
      <c r="A243" s="47"/>
      <c r="F243" s="72"/>
    </row>
    <row r="244">
      <c r="A244" s="47"/>
      <c r="F244" s="72"/>
    </row>
    <row r="245">
      <c r="A245" s="47"/>
      <c r="F245" s="72"/>
    </row>
    <row r="246">
      <c r="A246" s="47"/>
      <c r="F246" s="72"/>
    </row>
    <row r="247">
      <c r="A247" s="47"/>
      <c r="F247" s="72"/>
    </row>
    <row r="248">
      <c r="A248" s="47"/>
      <c r="F248" s="72"/>
    </row>
    <row r="249">
      <c r="A249" s="47"/>
      <c r="F249" s="72"/>
    </row>
    <row r="250">
      <c r="A250" s="47"/>
      <c r="F250" s="72"/>
    </row>
    <row r="251">
      <c r="A251" s="47"/>
      <c r="F251" s="72"/>
    </row>
    <row r="252">
      <c r="A252" s="47"/>
      <c r="F252" s="72"/>
    </row>
    <row r="253">
      <c r="A253" s="47"/>
      <c r="F253" s="72"/>
    </row>
    <row r="254">
      <c r="A254" s="47"/>
      <c r="F254" s="72"/>
    </row>
    <row r="255">
      <c r="A255" s="47"/>
      <c r="F255" s="72"/>
    </row>
    <row r="256">
      <c r="A256" s="47"/>
      <c r="F256" s="72"/>
    </row>
    <row r="257">
      <c r="A257" s="47"/>
      <c r="F257" s="72"/>
    </row>
    <row r="258">
      <c r="A258" s="47"/>
      <c r="F258" s="72"/>
    </row>
    <row r="259">
      <c r="A259" s="47"/>
      <c r="F259" s="72"/>
    </row>
    <row r="260">
      <c r="A260" s="47"/>
      <c r="F260" s="72"/>
    </row>
    <row r="261">
      <c r="A261" s="47"/>
      <c r="F261" s="72"/>
    </row>
    <row r="262">
      <c r="A262" s="47"/>
      <c r="F262" s="72"/>
    </row>
    <row r="263">
      <c r="A263" s="47"/>
      <c r="F263" s="72"/>
    </row>
    <row r="264">
      <c r="A264" s="47"/>
      <c r="F264" s="72"/>
    </row>
    <row r="265">
      <c r="A265" s="47"/>
      <c r="F265" s="72"/>
    </row>
    <row r="266">
      <c r="A266" s="47"/>
      <c r="F266" s="72"/>
    </row>
    <row r="267">
      <c r="A267" s="47"/>
      <c r="F267" s="72"/>
    </row>
    <row r="268">
      <c r="A268" s="47"/>
      <c r="F268" s="72"/>
    </row>
    <row r="269">
      <c r="A269" s="47"/>
      <c r="F269" s="72"/>
    </row>
    <row r="270">
      <c r="A270" s="47"/>
      <c r="F270" s="72"/>
    </row>
    <row r="271">
      <c r="A271" s="47"/>
      <c r="F271" s="72"/>
    </row>
    <row r="272">
      <c r="A272" s="47"/>
      <c r="F272" s="72"/>
    </row>
    <row r="273">
      <c r="A273" s="47"/>
      <c r="F273" s="72"/>
    </row>
    <row r="274">
      <c r="A274" s="47"/>
      <c r="F274" s="72"/>
    </row>
    <row r="275">
      <c r="A275" s="47"/>
      <c r="F275" s="72"/>
    </row>
    <row r="276">
      <c r="A276" s="47"/>
      <c r="F276" s="72"/>
    </row>
    <row r="277">
      <c r="A277" s="47"/>
      <c r="F277" s="72"/>
    </row>
    <row r="278">
      <c r="A278" s="47"/>
      <c r="F278" s="72"/>
    </row>
    <row r="279">
      <c r="A279" s="47"/>
      <c r="F279" s="72"/>
    </row>
    <row r="280">
      <c r="A280" s="47"/>
      <c r="F280" s="72"/>
    </row>
    <row r="281">
      <c r="A281" s="47"/>
      <c r="F281" s="72"/>
    </row>
    <row r="282">
      <c r="A282" s="47"/>
      <c r="F282" s="72"/>
    </row>
    <row r="283">
      <c r="A283" s="47"/>
      <c r="F283" s="72"/>
    </row>
    <row r="284">
      <c r="A284" s="47"/>
      <c r="F284" s="72"/>
    </row>
    <row r="285">
      <c r="A285" s="47"/>
      <c r="F285" s="72"/>
    </row>
    <row r="286">
      <c r="A286" s="47"/>
      <c r="F286" s="72"/>
    </row>
    <row r="287">
      <c r="A287" s="47"/>
      <c r="F287" s="72"/>
    </row>
    <row r="288">
      <c r="A288" s="47"/>
      <c r="F288" s="72"/>
    </row>
    <row r="289">
      <c r="A289" s="47"/>
      <c r="F289" s="72"/>
    </row>
    <row r="290">
      <c r="A290" s="47"/>
      <c r="F290" s="72"/>
    </row>
    <row r="291">
      <c r="A291" s="47"/>
      <c r="F291" s="72"/>
    </row>
    <row r="292">
      <c r="A292" s="47"/>
      <c r="F292" s="72"/>
    </row>
    <row r="293">
      <c r="A293" s="47"/>
      <c r="F293" s="72"/>
    </row>
    <row r="294">
      <c r="A294" s="47"/>
      <c r="F294" s="72"/>
    </row>
    <row r="295">
      <c r="A295" s="47"/>
      <c r="F295" s="72"/>
    </row>
    <row r="296">
      <c r="A296" s="47"/>
      <c r="F296" s="72"/>
    </row>
    <row r="297">
      <c r="A297" s="47"/>
      <c r="F297" s="72"/>
    </row>
    <row r="298">
      <c r="A298" s="47"/>
      <c r="F298" s="72"/>
    </row>
    <row r="299">
      <c r="A299" s="47"/>
      <c r="F299" s="72"/>
    </row>
    <row r="300">
      <c r="A300" s="47"/>
      <c r="F300" s="72"/>
    </row>
    <row r="301">
      <c r="A301" s="47"/>
      <c r="F301" s="72"/>
    </row>
    <row r="302">
      <c r="A302" s="47"/>
      <c r="F302" s="72"/>
    </row>
    <row r="303">
      <c r="A303" s="47"/>
      <c r="F303" s="72"/>
    </row>
    <row r="304">
      <c r="A304" s="47"/>
      <c r="F304" s="72"/>
    </row>
    <row r="305">
      <c r="A305" s="47"/>
      <c r="F305" s="72"/>
    </row>
    <row r="306">
      <c r="A306" s="47"/>
      <c r="F306" s="72"/>
    </row>
    <row r="307">
      <c r="A307" s="47"/>
      <c r="F307" s="72"/>
    </row>
    <row r="308">
      <c r="A308" s="47"/>
      <c r="F308" s="72"/>
    </row>
    <row r="309">
      <c r="A309" s="47"/>
      <c r="F309" s="72"/>
    </row>
    <row r="310">
      <c r="A310" s="47"/>
      <c r="F310" s="72"/>
    </row>
    <row r="311">
      <c r="A311" s="47"/>
      <c r="F311" s="72"/>
    </row>
    <row r="312">
      <c r="A312" s="47"/>
      <c r="F312" s="72"/>
    </row>
    <row r="313">
      <c r="A313" s="47"/>
      <c r="F313" s="72"/>
    </row>
    <row r="314">
      <c r="A314" s="47"/>
      <c r="F314" s="72"/>
    </row>
    <row r="315">
      <c r="A315" s="47"/>
      <c r="F315" s="72"/>
    </row>
    <row r="316">
      <c r="A316" s="47"/>
      <c r="F316" s="72"/>
    </row>
    <row r="317">
      <c r="A317" s="47"/>
      <c r="F317" s="72"/>
    </row>
    <row r="318">
      <c r="A318" s="47"/>
      <c r="F318" s="72"/>
    </row>
    <row r="319">
      <c r="A319" s="47"/>
      <c r="F319" s="72"/>
    </row>
    <row r="320">
      <c r="A320" s="47"/>
      <c r="F320" s="72"/>
    </row>
    <row r="321">
      <c r="A321" s="47"/>
      <c r="F321" s="72"/>
    </row>
    <row r="322">
      <c r="A322" s="47"/>
      <c r="F322" s="72"/>
    </row>
    <row r="323">
      <c r="A323" s="47"/>
      <c r="F323" s="72"/>
    </row>
    <row r="324">
      <c r="A324" s="47"/>
      <c r="F324" s="72"/>
    </row>
    <row r="325">
      <c r="A325" s="47"/>
      <c r="F325" s="72"/>
    </row>
    <row r="326">
      <c r="A326" s="47"/>
      <c r="F326" s="72"/>
    </row>
    <row r="327">
      <c r="A327" s="47"/>
      <c r="F327" s="72"/>
    </row>
    <row r="328">
      <c r="A328" s="47"/>
      <c r="F328" s="72"/>
    </row>
    <row r="329">
      <c r="A329" s="47"/>
      <c r="F329" s="72"/>
    </row>
    <row r="330">
      <c r="A330" s="47"/>
      <c r="F330" s="72"/>
    </row>
    <row r="331">
      <c r="A331" s="47"/>
      <c r="F331" s="72"/>
    </row>
    <row r="332">
      <c r="A332" s="47"/>
      <c r="F332" s="72"/>
    </row>
    <row r="333">
      <c r="A333" s="47"/>
      <c r="F333" s="72"/>
    </row>
    <row r="334">
      <c r="A334" s="47"/>
      <c r="F334" s="72"/>
    </row>
    <row r="335">
      <c r="A335" s="47"/>
      <c r="F335" s="72"/>
    </row>
    <row r="336">
      <c r="A336" s="47"/>
      <c r="F336" s="72"/>
    </row>
    <row r="337">
      <c r="A337" s="47"/>
      <c r="F337" s="72"/>
    </row>
    <row r="338">
      <c r="A338" s="47"/>
      <c r="F338" s="72"/>
    </row>
    <row r="339">
      <c r="A339" s="47"/>
      <c r="F339" s="72"/>
    </row>
    <row r="340">
      <c r="A340" s="47"/>
      <c r="F340" s="72"/>
    </row>
    <row r="341">
      <c r="A341" s="47"/>
      <c r="F341" s="72"/>
    </row>
    <row r="342">
      <c r="A342" s="47"/>
      <c r="F342" s="72"/>
    </row>
    <row r="343">
      <c r="A343" s="47"/>
      <c r="F343" s="72"/>
    </row>
    <row r="344">
      <c r="A344" s="47"/>
      <c r="F344" s="72"/>
    </row>
    <row r="345">
      <c r="A345" s="47"/>
      <c r="F345" s="72"/>
    </row>
    <row r="346">
      <c r="A346" s="47"/>
      <c r="F346" s="72"/>
    </row>
    <row r="347">
      <c r="A347" s="47"/>
      <c r="F347" s="72"/>
    </row>
    <row r="348">
      <c r="A348" s="47"/>
      <c r="F348" s="72"/>
    </row>
    <row r="349">
      <c r="A349" s="47"/>
      <c r="F349" s="72"/>
    </row>
    <row r="350">
      <c r="A350" s="47"/>
      <c r="F350" s="72"/>
    </row>
    <row r="351">
      <c r="A351" s="47"/>
      <c r="F351" s="72"/>
    </row>
    <row r="352">
      <c r="A352" s="47"/>
      <c r="F352" s="72"/>
    </row>
    <row r="353">
      <c r="A353" s="47"/>
      <c r="F353" s="72"/>
    </row>
    <row r="354">
      <c r="A354" s="47"/>
      <c r="F354" s="72"/>
    </row>
    <row r="355">
      <c r="A355" s="47"/>
      <c r="F355" s="72"/>
    </row>
    <row r="356">
      <c r="A356" s="47"/>
      <c r="F356" s="72"/>
    </row>
    <row r="357">
      <c r="A357" s="47"/>
      <c r="F357" s="72"/>
    </row>
    <row r="358">
      <c r="A358" s="47"/>
      <c r="F358" s="72"/>
    </row>
    <row r="359">
      <c r="A359" s="47"/>
      <c r="F359" s="72"/>
    </row>
    <row r="360">
      <c r="A360" s="47"/>
      <c r="F360" s="72"/>
    </row>
    <row r="361">
      <c r="A361" s="47"/>
      <c r="F361" s="72"/>
    </row>
    <row r="362">
      <c r="A362" s="47"/>
      <c r="F362" s="72"/>
    </row>
    <row r="363">
      <c r="A363" s="47"/>
      <c r="F363" s="72"/>
    </row>
    <row r="364">
      <c r="A364" s="47"/>
      <c r="F364" s="72"/>
    </row>
    <row r="365">
      <c r="A365" s="47"/>
      <c r="F365" s="72"/>
    </row>
    <row r="366">
      <c r="A366" s="47"/>
      <c r="F366" s="72"/>
    </row>
    <row r="367">
      <c r="A367" s="47"/>
      <c r="F367" s="72"/>
    </row>
    <row r="368">
      <c r="A368" s="47"/>
      <c r="F368" s="72"/>
    </row>
    <row r="369">
      <c r="A369" s="47"/>
      <c r="F369" s="72"/>
    </row>
    <row r="370">
      <c r="A370" s="47"/>
      <c r="F370" s="72"/>
    </row>
    <row r="371">
      <c r="A371" s="47"/>
      <c r="F371" s="72"/>
    </row>
    <row r="372">
      <c r="A372" s="47"/>
      <c r="F372" s="72"/>
    </row>
    <row r="373">
      <c r="A373" s="47"/>
      <c r="F373" s="72"/>
    </row>
    <row r="374">
      <c r="A374" s="47"/>
      <c r="F374" s="72"/>
    </row>
    <row r="375">
      <c r="A375" s="47"/>
      <c r="F375" s="72"/>
    </row>
    <row r="376">
      <c r="A376" s="47"/>
      <c r="F376" s="72"/>
    </row>
    <row r="377">
      <c r="A377" s="47"/>
      <c r="F377" s="72"/>
    </row>
    <row r="378">
      <c r="A378" s="47"/>
      <c r="F378" s="72"/>
    </row>
    <row r="379">
      <c r="A379" s="47"/>
      <c r="F379" s="72"/>
    </row>
    <row r="380">
      <c r="A380" s="47"/>
      <c r="F380" s="72"/>
    </row>
    <row r="381">
      <c r="A381" s="47"/>
      <c r="F381" s="72"/>
    </row>
    <row r="382">
      <c r="A382" s="47"/>
      <c r="F382" s="72"/>
    </row>
    <row r="383">
      <c r="A383" s="47"/>
      <c r="F383" s="72"/>
    </row>
    <row r="384">
      <c r="A384" s="47"/>
      <c r="F384" s="72"/>
    </row>
    <row r="385">
      <c r="A385" s="47"/>
      <c r="F385" s="72"/>
    </row>
    <row r="386">
      <c r="A386" s="47"/>
      <c r="F386" s="72"/>
    </row>
    <row r="387">
      <c r="A387" s="47"/>
      <c r="F387" s="72"/>
    </row>
    <row r="388">
      <c r="A388" s="47"/>
      <c r="F388" s="72"/>
    </row>
    <row r="389">
      <c r="A389" s="47"/>
      <c r="F389" s="72"/>
    </row>
    <row r="390">
      <c r="A390" s="47"/>
      <c r="F390" s="72"/>
    </row>
    <row r="391">
      <c r="A391" s="47"/>
      <c r="F391" s="72"/>
    </row>
    <row r="392">
      <c r="A392" s="47"/>
      <c r="F392" s="72"/>
    </row>
    <row r="393">
      <c r="A393" s="47"/>
      <c r="F393" s="72"/>
    </row>
    <row r="394">
      <c r="A394" s="47"/>
      <c r="F394" s="72"/>
    </row>
    <row r="395">
      <c r="A395" s="47"/>
      <c r="F395" s="72"/>
    </row>
    <row r="396">
      <c r="A396" s="47"/>
      <c r="F396" s="72"/>
    </row>
    <row r="397">
      <c r="A397" s="47"/>
      <c r="F397" s="72"/>
    </row>
    <row r="398">
      <c r="A398" s="47"/>
      <c r="F398" s="72"/>
    </row>
    <row r="399">
      <c r="A399" s="47"/>
      <c r="F399" s="72"/>
    </row>
    <row r="400">
      <c r="A400" s="47"/>
      <c r="F400" s="72"/>
    </row>
    <row r="401">
      <c r="A401" s="47"/>
      <c r="F401" s="72"/>
    </row>
    <row r="402">
      <c r="A402" s="47"/>
      <c r="F402" s="72"/>
    </row>
    <row r="403">
      <c r="A403" s="47"/>
      <c r="F403" s="72"/>
    </row>
    <row r="404">
      <c r="A404" s="47"/>
      <c r="F404" s="72"/>
    </row>
    <row r="405">
      <c r="A405" s="47"/>
      <c r="F405" s="72"/>
    </row>
    <row r="406">
      <c r="A406" s="47"/>
      <c r="F406" s="72"/>
    </row>
    <row r="407">
      <c r="A407" s="47"/>
      <c r="F407" s="72"/>
    </row>
    <row r="408">
      <c r="A408" s="47"/>
      <c r="F408" s="72"/>
    </row>
    <row r="409">
      <c r="A409" s="47"/>
      <c r="F409" s="72"/>
    </row>
    <row r="410">
      <c r="A410" s="47"/>
      <c r="F410" s="72"/>
    </row>
    <row r="411">
      <c r="A411" s="47"/>
      <c r="F411" s="72"/>
    </row>
    <row r="412">
      <c r="A412" s="47"/>
      <c r="F412" s="72"/>
    </row>
    <row r="413">
      <c r="A413" s="47"/>
      <c r="F413" s="72"/>
    </row>
    <row r="414">
      <c r="A414" s="47"/>
      <c r="F414" s="72"/>
    </row>
    <row r="415">
      <c r="A415" s="47"/>
      <c r="F415" s="72"/>
    </row>
    <row r="416">
      <c r="A416" s="47"/>
      <c r="F416" s="72"/>
    </row>
    <row r="417">
      <c r="A417" s="47"/>
      <c r="F417" s="72"/>
    </row>
    <row r="418">
      <c r="A418" s="47"/>
      <c r="F418" s="72"/>
    </row>
    <row r="419">
      <c r="A419" s="47"/>
      <c r="F419" s="72"/>
    </row>
    <row r="420">
      <c r="A420" s="47"/>
      <c r="F420" s="72"/>
    </row>
    <row r="421">
      <c r="A421" s="47"/>
      <c r="F421" s="72"/>
    </row>
    <row r="422">
      <c r="A422" s="47"/>
      <c r="F422" s="72"/>
    </row>
    <row r="423">
      <c r="A423" s="47"/>
      <c r="F423" s="72"/>
    </row>
    <row r="424">
      <c r="A424" s="47"/>
      <c r="F424" s="72"/>
    </row>
    <row r="425">
      <c r="A425" s="47"/>
      <c r="F425" s="72"/>
    </row>
    <row r="426">
      <c r="A426" s="47"/>
      <c r="F426" s="72"/>
    </row>
    <row r="427">
      <c r="A427" s="47"/>
      <c r="F427" s="72"/>
    </row>
    <row r="428">
      <c r="A428" s="47"/>
      <c r="F428" s="72"/>
    </row>
    <row r="429">
      <c r="A429" s="47"/>
      <c r="F429" s="72"/>
    </row>
    <row r="430">
      <c r="A430" s="47"/>
      <c r="F430" s="72"/>
    </row>
    <row r="431">
      <c r="A431" s="47"/>
      <c r="F431" s="72"/>
    </row>
    <row r="432">
      <c r="A432" s="47"/>
      <c r="F432" s="72"/>
    </row>
    <row r="433">
      <c r="A433" s="47"/>
      <c r="F433" s="72"/>
    </row>
    <row r="434">
      <c r="A434" s="47"/>
      <c r="F434" s="72"/>
    </row>
    <row r="435">
      <c r="A435" s="47"/>
      <c r="F435" s="72"/>
    </row>
    <row r="436">
      <c r="A436" s="47"/>
      <c r="F436" s="72"/>
    </row>
    <row r="437">
      <c r="A437" s="47"/>
      <c r="F437" s="72"/>
    </row>
    <row r="438">
      <c r="A438" s="47"/>
      <c r="F438" s="72"/>
    </row>
    <row r="439">
      <c r="A439" s="47"/>
      <c r="F439" s="72"/>
    </row>
    <row r="440">
      <c r="A440" s="47"/>
      <c r="F440" s="72"/>
    </row>
    <row r="441">
      <c r="A441" s="47"/>
      <c r="F441" s="72"/>
    </row>
    <row r="442">
      <c r="A442" s="47"/>
      <c r="F442" s="72"/>
    </row>
    <row r="443">
      <c r="A443" s="47"/>
      <c r="F443" s="72"/>
    </row>
    <row r="444">
      <c r="A444" s="47"/>
      <c r="F444" s="72"/>
    </row>
    <row r="445">
      <c r="A445" s="47"/>
      <c r="F445" s="72"/>
    </row>
    <row r="446">
      <c r="A446" s="47"/>
      <c r="F446" s="72"/>
    </row>
    <row r="447">
      <c r="A447" s="47"/>
      <c r="F447" s="72"/>
    </row>
    <row r="448">
      <c r="A448" s="47"/>
      <c r="F448" s="72"/>
    </row>
    <row r="449">
      <c r="A449" s="47"/>
      <c r="F449" s="72"/>
    </row>
    <row r="450">
      <c r="A450" s="47"/>
      <c r="F450" s="72"/>
    </row>
    <row r="451">
      <c r="A451" s="47"/>
      <c r="F451" s="72"/>
    </row>
    <row r="452">
      <c r="A452" s="47"/>
      <c r="F452" s="72"/>
    </row>
    <row r="453">
      <c r="A453" s="47"/>
      <c r="F453" s="72"/>
    </row>
    <row r="454">
      <c r="A454" s="47"/>
      <c r="F454" s="72"/>
    </row>
    <row r="455">
      <c r="A455" s="47"/>
      <c r="F455" s="72"/>
    </row>
    <row r="456">
      <c r="A456" s="47"/>
      <c r="F456" s="72"/>
    </row>
    <row r="457">
      <c r="A457" s="47"/>
      <c r="F457" s="72"/>
    </row>
    <row r="458">
      <c r="A458" s="47"/>
      <c r="F458" s="72"/>
    </row>
    <row r="459">
      <c r="A459" s="47"/>
      <c r="F459" s="72"/>
    </row>
    <row r="460">
      <c r="A460" s="47"/>
      <c r="F460" s="72"/>
    </row>
    <row r="461">
      <c r="A461" s="47"/>
      <c r="F461" s="72"/>
    </row>
    <row r="462">
      <c r="A462" s="47"/>
      <c r="F462" s="72"/>
    </row>
    <row r="463">
      <c r="A463" s="47"/>
      <c r="F463" s="72"/>
    </row>
    <row r="464">
      <c r="A464" s="47"/>
      <c r="F464" s="72"/>
    </row>
    <row r="465">
      <c r="A465" s="47"/>
      <c r="F465" s="72"/>
    </row>
    <row r="466">
      <c r="A466" s="47"/>
      <c r="F466" s="72"/>
    </row>
    <row r="467">
      <c r="A467" s="47"/>
      <c r="F467" s="72"/>
    </row>
    <row r="468">
      <c r="A468" s="47"/>
      <c r="F468" s="72"/>
    </row>
    <row r="469">
      <c r="A469" s="47"/>
      <c r="F469" s="72"/>
    </row>
    <row r="470">
      <c r="A470" s="47"/>
      <c r="F470" s="72"/>
    </row>
    <row r="471">
      <c r="A471" s="47"/>
      <c r="F471" s="72"/>
    </row>
    <row r="472">
      <c r="A472" s="47"/>
      <c r="F472" s="72"/>
    </row>
    <row r="473">
      <c r="A473" s="47"/>
      <c r="F473" s="72"/>
    </row>
    <row r="474">
      <c r="A474" s="47"/>
      <c r="F474" s="72"/>
    </row>
    <row r="475">
      <c r="A475" s="47"/>
      <c r="F475" s="72"/>
    </row>
    <row r="476">
      <c r="A476" s="47"/>
      <c r="F476" s="72"/>
    </row>
    <row r="477">
      <c r="A477" s="47"/>
      <c r="F477" s="72"/>
    </row>
    <row r="478">
      <c r="A478" s="47"/>
      <c r="F478" s="72"/>
    </row>
    <row r="479">
      <c r="A479" s="47"/>
      <c r="F479" s="72"/>
    </row>
    <row r="480">
      <c r="A480" s="47"/>
      <c r="F480" s="72"/>
    </row>
    <row r="481">
      <c r="A481" s="47"/>
      <c r="F481" s="72"/>
    </row>
    <row r="482">
      <c r="A482" s="47"/>
      <c r="F482" s="72"/>
    </row>
    <row r="483">
      <c r="A483" s="47"/>
      <c r="F483" s="72"/>
    </row>
    <row r="484">
      <c r="A484" s="47"/>
      <c r="F484" s="72"/>
    </row>
    <row r="485">
      <c r="A485" s="47"/>
      <c r="F485" s="72"/>
    </row>
    <row r="486">
      <c r="A486" s="47"/>
      <c r="F486" s="72"/>
    </row>
    <row r="487">
      <c r="A487" s="47"/>
      <c r="F487" s="72"/>
    </row>
    <row r="488">
      <c r="A488" s="47"/>
      <c r="F488" s="72"/>
    </row>
    <row r="489">
      <c r="A489" s="47"/>
      <c r="F489" s="72"/>
    </row>
    <row r="490">
      <c r="A490" s="47"/>
      <c r="F490" s="72"/>
    </row>
    <row r="491">
      <c r="A491" s="47"/>
      <c r="F491" s="72"/>
    </row>
    <row r="492">
      <c r="A492" s="47"/>
      <c r="F492" s="72"/>
    </row>
    <row r="493">
      <c r="A493" s="47"/>
      <c r="F493" s="72"/>
    </row>
    <row r="494">
      <c r="A494" s="47"/>
      <c r="F494" s="72"/>
    </row>
    <row r="495">
      <c r="A495" s="47"/>
      <c r="F495" s="72"/>
    </row>
    <row r="496">
      <c r="A496" s="47"/>
      <c r="F496" s="72"/>
    </row>
    <row r="497">
      <c r="A497" s="47"/>
      <c r="F497" s="72"/>
    </row>
    <row r="498">
      <c r="A498" s="47"/>
      <c r="F498" s="72"/>
    </row>
    <row r="499">
      <c r="A499" s="47"/>
      <c r="F499" s="72"/>
    </row>
    <row r="500">
      <c r="A500" s="47"/>
      <c r="F500" s="72"/>
    </row>
    <row r="501">
      <c r="A501" s="47"/>
      <c r="F501" s="72"/>
    </row>
    <row r="502">
      <c r="A502" s="47"/>
      <c r="F502" s="72"/>
    </row>
    <row r="503">
      <c r="A503" s="47"/>
      <c r="F503" s="72"/>
    </row>
    <row r="504">
      <c r="A504" s="47"/>
      <c r="F504" s="72"/>
    </row>
    <row r="505">
      <c r="A505" s="47"/>
      <c r="F505" s="72"/>
    </row>
    <row r="506">
      <c r="A506" s="47"/>
      <c r="F506" s="72"/>
    </row>
    <row r="507">
      <c r="A507" s="47"/>
      <c r="F507" s="72"/>
    </row>
    <row r="508">
      <c r="A508" s="47"/>
      <c r="F508" s="72"/>
    </row>
    <row r="509">
      <c r="A509" s="47"/>
      <c r="F509" s="72"/>
    </row>
    <row r="510">
      <c r="A510" s="47"/>
      <c r="F510" s="72"/>
    </row>
    <row r="511">
      <c r="A511" s="47"/>
      <c r="F511" s="72"/>
    </row>
    <row r="512">
      <c r="A512" s="47"/>
      <c r="F512" s="72"/>
    </row>
    <row r="513">
      <c r="A513" s="47"/>
      <c r="F513" s="72"/>
    </row>
    <row r="514">
      <c r="A514" s="47"/>
      <c r="F514" s="72"/>
    </row>
    <row r="515">
      <c r="A515" s="47"/>
      <c r="F515" s="72"/>
    </row>
    <row r="516">
      <c r="A516" s="47"/>
      <c r="F516" s="72"/>
    </row>
    <row r="517">
      <c r="A517" s="47"/>
      <c r="F517" s="72"/>
    </row>
    <row r="518">
      <c r="A518" s="47"/>
      <c r="F518" s="72"/>
    </row>
    <row r="519">
      <c r="A519" s="47"/>
      <c r="F519" s="72"/>
    </row>
    <row r="520">
      <c r="A520" s="47"/>
      <c r="F520" s="72"/>
    </row>
    <row r="521">
      <c r="A521" s="47"/>
      <c r="F521" s="72"/>
    </row>
    <row r="522">
      <c r="A522" s="47"/>
      <c r="F522" s="72"/>
    </row>
    <row r="523">
      <c r="A523" s="47"/>
      <c r="F523" s="72"/>
    </row>
    <row r="524">
      <c r="A524" s="47"/>
      <c r="F524" s="72"/>
    </row>
    <row r="525">
      <c r="A525" s="47"/>
      <c r="F525" s="72"/>
    </row>
    <row r="526">
      <c r="A526" s="47"/>
      <c r="F526" s="72"/>
    </row>
    <row r="527">
      <c r="A527" s="47"/>
      <c r="F527" s="72"/>
    </row>
    <row r="528">
      <c r="A528" s="47"/>
      <c r="F528" s="72"/>
    </row>
    <row r="529">
      <c r="A529" s="47"/>
      <c r="F529" s="72"/>
    </row>
    <row r="530">
      <c r="A530" s="47"/>
      <c r="F530" s="72"/>
    </row>
    <row r="531">
      <c r="A531" s="47"/>
      <c r="F531" s="72"/>
    </row>
    <row r="532">
      <c r="A532" s="47"/>
      <c r="F532" s="72"/>
    </row>
    <row r="533">
      <c r="A533" s="47"/>
      <c r="F533" s="72"/>
    </row>
    <row r="534">
      <c r="A534" s="47"/>
      <c r="F534" s="72"/>
    </row>
    <row r="535">
      <c r="A535" s="47"/>
      <c r="F535" s="72"/>
    </row>
    <row r="536">
      <c r="A536" s="47"/>
      <c r="F536" s="72"/>
    </row>
    <row r="537">
      <c r="A537" s="47"/>
      <c r="F537" s="72"/>
    </row>
    <row r="538">
      <c r="A538" s="47"/>
      <c r="F538" s="72"/>
    </row>
    <row r="539">
      <c r="A539" s="47"/>
      <c r="F539" s="72"/>
    </row>
    <row r="540">
      <c r="A540" s="47"/>
      <c r="F540" s="72"/>
    </row>
    <row r="541">
      <c r="A541" s="47"/>
      <c r="F541" s="72"/>
    </row>
    <row r="542">
      <c r="A542" s="47"/>
      <c r="F542" s="72"/>
    </row>
    <row r="543">
      <c r="A543" s="47"/>
      <c r="F543" s="72"/>
    </row>
    <row r="544">
      <c r="A544" s="47"/>
      <c r="F544" s="72"/>
    </row>
    <row r="545">
      <c r="A545" s="47"/>
      <c r="F545" s="72"/>
    </row>
    <row r="546">
      <c r="A546" s="47"/>
      <c r="F546" s="72"/>
    </row>
    <row r="547">
      <c r="A547" s="47"/>
      <c r="F547" s="72"/>
    </row>
    <row r="548">
      <c r="A548" s="47"/>
      <c r="F548" s="72"/>
    </row>
    <row r="549">
      <c r="A549" s="47"/>
      <c r="F549" s="72"/>
    </row>
    <row r="550">
      <c r="A550" s="47"/>
      <c r="F550" s="72"/>
    </row>
    <row r="551">
      <c r="A551" s="47"/>
      <c r="F551" s="72"/>
    </row>
    <row r="552">
      <c r="A552" s="47"/>
      <c r="F552" s="72"/>
    </row>
    <row r="553">
      <c r="A553" s="47"/>
      <c r="F553" s="72"/>
    </row>
    <row r="554">
      <c r="A554" s="47"/>
      <c r="F554" s="72"/>
    </row>
    <row r="555">
      <c r="A555" s="47"/>
      <c r="F555" s="72"/>
    </row>
    <row r="556">
      <c r="A556" s="47"/>
      <c r="F556" s="72"/>
    </row>
    <row r="557">
      <c r="A557" s="47"/>
      <c r="F557" s="72"/>
    </row>
    <row r="558">
      <c r="A558" s="47"/>
      <c r="F558" s="72"/>
    </row>
    <row r="559">
      <c r="A559" s="47"/>
      <c r="F559" s="72"/>
    </row>
    <row r="560">
      <c r="A560" s="47"/>
      <c r="F560" s="72"/>
    </row>
    <row r="561">
      <c r="A561" s="47"/>
      <c r="F561" s="72"/>
    </row>
    <row r="562">
      <c r="A562" s="47"/>
      <c r="F562" s="72"/>
    </row>
    <row r="563">
      <c r="A563" s="47"/>
      <c r="F563" s="72"/>
    </row>
    <row r="564">
      <c r="A564" s="47"/>
      <c r="F564" s="72"/>
    </row>
    <row r="565">
      <c r="A565" s="47"/>
      <c r="F565" s="72"/>
    </row>
    <row r="566">
      <c r="A566" s="47"/>
      <c r="F566" s="72"/>
    </row>
    <row r="567">
      <c r="A567" s="47"/>
      <c r="F567" s="72"/>
    </row>
    <row r="568">
      <c r="A568" s="47"/>
      <c r="F568" s="72"/>
    </row>
    <row r="569">
      <c r="A569" s="47"/>
      <c r="F569" s="72"/>
    </row>
    <row r="570">
      <c r="A570" s="47"/>
      <c r="F570" s="72"/>
    </row>
    <row r="571">
      <c r="A571" s="47"/>
      <c r="F571" s="72"/>
    </row>
    <row r="572">
      <c r="A572" s="47"/>
      <c r="F572" s="72"/>
    </row>
    <row r="573">
      <c r="A573" s="47"/>
      <c r="F573" s="72"/>
    </row>
    <row r="574">
      <c r="A574" s="47"/>
      <c r="F574" s="72"/>
    </row>
    <row r="575">
      <c r="A575" s="47"/>
      <c r="F575" s="72"/>
    </row>
    <row r="576">
      <c r="A576" s="47"/>
      <c r="F576" s="72"/>
    </row>
    <row r="577">
      <c r="A577" s="47"/>
      <c r="F577" s="72"/>
    </row>
    <row r="578">
      <c r="A578" s="47"/>
      <c r="F578" s="72"/>
    </row>
    <row r="579">
      <c r="A579" s="47"/>
      <c r="F579" s="72"/>
    </row>
    <row r="580">
      <c r="A580" s="47"/>
      <c r="F580" s="72"/>
    </row>
    <row r="581">
      <c r="A581" s="47"/>
      <c r="F581" s="72"/>
    </row>
    <row r="582">
      <c r="A582" s="47"/>
      <c r="F582" s="72"/>
    </row>
    <row r="583">
      <c r="A583" s="47"/>
      <c r="F583" s="72"/>
    </row>
    <row r="584">
      <c r="A584" s="47"/>
      <c r="F584" s="72"/>
    </row>
    <row r="585">
      <c r="A585" s="47"/>
      <c r="F585" s="72"/>
    </row>
    <row r="586">
      <c r="A586" s="47"/>
      <c r="F586" s="72"/>
    </row>
    <row r="587">
      <c r="A587" s="47"/>
      <c r="F587" s="72"/>
    </row>
    <row r="588">
      <c r="A588" s="47"/>
      <c r="F588" s="72"/>
    </row>
    <row r="589">
      <c r="A589" s="47"/>
      <c r="F589" s="72"/>
    </row>
    <row r="590">
      <c r="A590" s="47"/>
      <c r="F590" s="72"/>
    </row>
    <row r="591">
      <c r="A591" s="47"/>
      <c r="F591" s="72"/>
    </row>
    <row r="592">
      <c r="A592" s="47"/>
      <c r="F592" s="72"/>
    </row>
    <row r="593">
      <c r="A593" s="47"/>
      <c r="F593" s="72"/>
    </row>
    <row r="594">
      <c r="A594" s="47"/>
      <c r="F594" s="72"/>
    </row>
    <row r="595">
      <c r="A595" s="47"/>
      <c r="F595" s="72"/>
    </row>
    <row r="596">
      <c r="A596" s="47"/>
      <c r="F596" s="72"/>
    </row>
    <row r="597">
      <c r="A597" s="47"/>
      <c r="F597" s="72"/>
    </row>
    <row r="598">
      <c r="A598" s="47"/>
      <c r="F598" s="72"/>
    </row>
    <row r="599">
      <c r="A599" s="47"/>
      <c r="F599" s="72"/>
    </row>
    <row r="600">
      <c r="A600" s="47"/>
      <c r="F600" s="72"/>
    </row>
    <row r="601">
      <c r="A601" s="47"/>
      <c r="F601" s="72"/>
    </row>
    <row r="602">
      <c r="A602" s="47"/>
      <c r="F602" s="72"/>
    </row>
    <row r="603">
      <c r="A603" s="47"/>
      <c r="F603" s="72"/>
    </row>
    <row r="604">
      <c r="A604" s="47"/>
      <c r="F604" s="72"/>
    </row>
    <row r="605">
      <c r="A605" s="47"/>
      <c r="F605" s="72"/>
    </row>
    <row r="606">
      <c r="A606" s="47"/>
      <c r="F606" s="72"/>
    </row>
    <row r="607">
      <c r="A607" s="47"/>
      <c r="F607" s="72"/>
    </row>
    <row r="608">
      <c r="A608" s="47"/>
      <c r="F608" s="72"/>
    </row>
    <row r="609">
      <c r="A609" s="47"/>
      <c r="F609" s="72"/>
    </row>
    <row r="610">
      <c r="A610" s="47"/>
      <c r="F610" s="72"/>
    </row>
    <row r="611">
      <c r="A611" s="47"/>
      <c r="F611" s="72"/>
    </row>
    <row r="612">
      <c r="A612" s="47"/>
      <c r="F612" s="72"/>
    </row>
    <row r="613">
      <c r="A613" s="47"/>
      <c r="F613" s="72"/>
    </row>
    <row r="614">
      <c r="A614" s="47"/>
      <c r="F614" s="72"/>
    </row>
    <row r="615">
      <c r="A615" s="47"/>
      <c r="F615" s="72"/>
    </row>
    <row r="616">
      <c r="A616" s="47"/>
      <c r="F616" s="72"/>
    </row>
    <row r="617">
      <c r="A617" s="47"/>
      <c r="F617" s="72"/>
    </row>
    <row r="618">
      <c r="A618" s="47"/>
      <c r="F618" s="72"/>
    </row>
    <row r="619">
      <c r="A619" s="47"/>
      <c r="F619" s="72"/>
    </row>
    <row r="620">
      <c r="A620" s="47"/>
      <c r="F620" s="72"/>
    </row>
    <row r="621">
      <c r="A621" s="47"/>
      <c r="F621" s="72"/>
    </row>
    <row r="622">
      <c r="A622" s="47"/>
      <c r="F622" s="72"/>
    </row>
    <row r="623">
      <c r="A623" s="47"/>
      <c r="F623" s="72"/>
    </row>
    <row r="624">
      <c r="A624" s="47"/>
      <c r="F624" s="72"/>
    </row>
    <row r="625">
      <c r="A625" s="47"/>
      <c r="F625" s="72"/>
    </row>
    <row r="626">
      <c r="A626" s="47"/>
      <c r="F626" s="72"/>
    </row>
    <row r="627">
      <c r="A627" s="47"/>
      <c r="F627" s="72"/>
    </row>
    <row r="628">
      <c r="A628" s="47"/>
      <c r="F628" s="72"/>
    </row>
    <row r="629">
      <c r="A629" s="47"/>
      <c r="F629" s="72"/>
    </row>
    <row r="630">
      <c r="A630" s="47"/>
      <c r="F630" s="72"/>
    </row>
    <row r="631">
      <c r="A631" s="47"/>
      <c r="F631" s="72"/>
    </row>
    <row r="632">
      <c r="A632" s="47"/>
      <c r="F632" s="72"/>
    </row>
    <row r="633">
      <c r="A633" s="47"/>
      <c r="F633" s="72"/>
    </row>
    <row r="634">
      <c r="A634" s="47"/>
      <c r="F634" s="72"/>
    </row>
    <row r="635">
      <c r="A635" s="47"/>
      <c r="F635" s="72"/>
    </row>
    <row r="636">
      <c r="A636" s="47"/>
      <c r="F636" s="72"/>
    </row>
    <row r="637">
      <c r="A637" s="47"/>
      <c r="F637" s="72"/>
    </row>
    <row r="638">
      <c r="A638" s="47"/>
      <c r="F638" s="72"/>
    </row>
    <row r="639">
      <c r="A639" s="47"/>
      <c r="F639" s="72"/>
    </row>
    <row r="640">
      <c r="A640" s="47"/>
      <c r="F640" s="72"/>
    </row>
    <row r="641">
      <c r="A641" s="47"/>
      <c r="F641" s="72"/>
    </row>
    <row r="642">
      <c r="A642" s="47"/>
      <c r="F642" s="72"/>
    </row>
    <row r="643">
      <c r="A643" s="47"/>
      <c r="F643" s="72"/>
    </row>
    <row r="644">
      <c r="A644" s="47"/>
      <c r="F644" s="72"/>
    </row>
    <row r="645">
      <c r="A645" s="47"/>
      <c r="F645" s="72"/>
    </row>
    <row r="646">
      <c r="A646" s="47"/>
      <c r="F646" s="72"/>
    </row>
    <row r="647">
      <c r="A647" s="47"/>
      <c r="F647" s="72"/>
    </row>
    <row r="648">
      <c r="A648" s="47"/>
      <c r="F648" s="72"/>
    </row>
    <row r="649">
      <c r="A649" s="47"/>
      <c r="F649" s="72"/>
    </row>
    <row r="650">
      <c r="A650" s="47"/>
      <c r="F650" s="72"/>
    </row>
    <row r="651">
      <c r="A651" s="47"/>
      <c r="F651" s="72"/>
    </row>
    <row r="652">
      <c r="A652" s="47"/>
      <c r="F652" s="72"/>
    </row>
    <row r="653">
      <c r="A653" s="47"/>
      <c r="F653" s="72"/>
    </row>
    <row r="654">
      <c r="A654" s="47"/>
      <c r="F654" s="72"/>
    </row>
    <row r="655">
      <c r="A655" s="47"/>
      <c r="F655" s="72"/>
    </row>
    <row r="656">
      <c r="A656" s="47"/>
      <c r="F656" s="72"/>
    </row>
    <row r="657">
      <c r="A657" s="47"/>
      <c r="F657" s="72"/>
    </row>
    <row r="658">
      <c r="A658" s="47"/>
      <c r="F658" s="72"/>
    </row>
    <row r="659">
      <c r="A659" s="47"/>
      <c r="F659" s="72"/>
    </row>
    <row r="660">
      <c r="A660" s="47"/>
      <c r="F660" s="72"/>
    </row>
    <row r="661">
      <c r="A661" s="47"/>
      <c r="F661" s="72"/>
    </row>
    <row r="662">
      <c r="A662" s="47"/>
      <c r="F662" s="72"/>
    </row>
    <row r="663">
      <c r="A663" s="47"/>
      <c r="F663" s="72"/>
    </row>
    <row r="664">
      <c r="A664" s="47"/>
      <c r="F664" s="72"/>
    </row>
    <row r="665">
      <c r="A665" s="47"/>
      <c r="F665" s="72"/>
    </row>
    <row r="666">
      <c r="A666" s="47"/>
      <c r="F666" s="72"/>
    </row>
    <row r="667">
      <c r="A667" s="47"/>
      <c r="F667" s="72"/>
    </row>
    <row r="668">
      <c r="A668" s="47"/>
      <c r="F668" s="72"/>
    </row>
    <row r="669">
      <c r="A669" s="47"/>
      <c r="F669" s="72"/>
    </row>
    <row r="670">
      <c r="A670" s="47"/>
      <c r="F670" s="72"/>
    </row>
    <row r="671">
      <c r="A671" s="47"/>
      <c r="F671" s="72"/>
    </row>
    <row r="672">
      <c r="A672" s="47"/>
      <c r="F672" s="72"/>
    </row>
    <row r="673">
      <c r="A673" s="47"/>
      <c r="F673" s="72"/>
    </row>
    <row r="674">
      <c r="A674" s="47"/>
      <c r="F674" s="72"/>
    </row>
    <row r="675">
      <c r="A675" s="47"/>
      <c r="F675" s="72"/>
    </row>
    <row r="676">
      <c r="A676" s="47"/>
      <c r="F676" s="72"/>
    </row>
    <row r="677">
      <c r="A677" s="47"/>
      <c r="F677" s="72"/>
    </row>
    <row r="678">
      <c r="A678" s="47"/>
      <c r="F678" s="72"/>
    </row>
    <row r="679">
      <c r="A679" s="47"/>
      <c r="F679" s="72"/>
    </row>
    <row r="680">
      <c r="A680" s="47"/>
      <c r="F680" s="72"/>
    </row>
    <row r="681">
      <c r="A681" s="47"/>
      <c r="F681" s="72"/>
    </row>
    <row r="682">
      <c r="A682" s="47"/>
      <c r="F682" s="72"/>
    </row>
    <row r="683">
      <c r="A683" s="47"/>
      <c r="F683" s="72"/>
    </row>
    <row r="684">
      <c r="A684" s="47"/>
      <c r="F684" s="72"/>
    </row>
    <row r="685">
      <c r="A685" s="47"/>
      <c r="F685" s="72"/>
    </row>
    <row r="686">
      <c r="A686" s="47"/>
      <c r="F686" s="72"/>
    </row>
    <row r="687">
      <c r="A687" s="47"/>
      <c r="F687" s="72"/>
    </row>
    <row r="688">
      <c r="A688" s="47"/>
      <c r="F688" s="72"/>
    </row>
    <row r="689">
      <c r="A689" s="47"/>
      <c r="F689" s="72"/>
    </row>
    <row r="690">
      <c r="A690" s="47"/>
      <c r="F690" s="72"/>
    </row>
    <row r="691">
      <c r="A691" s="47"/>
      <c r="F691" s="72"/>
    </row>
    <row r="692">
      <c r="A692" s="47"/>
      <c r="F692" s="72"/>
    </row>
    <row r="693">
      <c r="A693" s="47"/>
      <c r="F693" s="72"/>
    </row>
    <row r="694">
      <c r="A694" s="47"/>
      <c r="F694" s="72"/>
    </row>
    <row r="695">
      <c r="A695" s="47"/>
      <c r="F695" s="72"/>
    </row>
    <row r="696">
      <c r="A696" s="47"/>
      <c r="F696" s="72"/>
    </row>
    <row r="697">
      <c r="A697" s="47"/>
      <c r="F697" s="72"/>
    </row>
    <row r="698">
      <c r="A698" s="47"/>
      <c r="F698" s="72"/>
    </row>
    <row r="699">
      <c r="A699" s="47"/>
      <c r="F699" s="72"/>
    </row>
    <row r="700">
      <c r="A700" s="47"/>
      <c r="F700" s="72"/>
    </row>
    <row r="701">
      <c r="A701" s="47"/>
      <c r="F701" s="72"/>
    </row>
    <row r="702">
      <c r="A702" s="47"/>
      <c r="F702" s="72"/>
    </row>
    <row r="703">
      <c r="A703" s="47"/>
      <c r="F703" s="72"/>
    </row>
    <row r="704">
      <c r="A704" s="47"/>
      <c r="F704" s="72"/>
    </row>
    <row r="705">
      <c r="A705" s="47"/>
      <c r="F705" s="72"/>
    </row>
    <row r="706">
      <c r="A706" s="47"/>
      <c r="F706" s="72"/>
    </row>
    <row r="707">
      <c r="A707" s="47"/>
      <c r="F707" s="72"/>
    </row>
    <row r="708">
      <c r="A708" s="47"/>
      <c r="F708" s="72"/>
    </row>
    <row r="709">
      <c r="A709" s="47"/>
      <c r="F709" s="72"/>
    </row>
    <row r="710">
      <c r="A710" s="47"/>
      <c r="F710" s="72"/>
    </row>
    <row r="711">
      <c r="A711" s="47"/>
      <c r="F711" s="72"/>
    </row>
    <row r="712">
      <c r="A712" s="47"/>
      <c r="F712" s="72"/>
    </row>
    <row r="713">
      <c r="A713" s="47"/>
      <c r="F713" s="72"/>
    </row>
    <row r="714">
      <c r="A714" s="47"/>
      <c r="F714" s="72"/>
    </row>
    <row r="715">
      <c r="A715" s="47"/>
      <c r="F715" s="72"/>
    </row>
    <row r="716">
      <c r="A716" s="47"/>
      <c r="F716" s="72"/>
    </row>
    <row r="717">
      <c r="A717" s="47"/>
      <c r="F717" s="72"/>
    </row>
    <row r="718">
      <c r="A718" s="47"/>
      <c r="F718" s="72"/>
    </row>
    <row r="719">
      <c r="A719" s="47"/>
      <c r="F719" s="72"/>
    </row>
    <row r="720">
      <c r="A720" s="47"/>
      <c r="F720" s="72"/>
    </row>
    <row r="721">
      <c r="A721" s="47"/>
      <c r="F721" s="72"/>
    </row>
    <row r="722">
      <c r="A722" s="47"/>
      <c r="F722" s="72"/>
    </row>
    <row r="723">
      <c r="A723" s="47"/>
      <c r="F723" s="72"/>
    </row>
    <row r="724">
      <c r="A724" s="47"/>
      <c r="F724" s="72"/>
    </row>
    <row r="725">
      <c r="A725" s="47"/>
      <c r="F725" s="72"/>
    </row>
    <row r="726">
      <c r="A726" s="47"/>
      <c r="F726" s="72"/>
    </row>
    <row r="727">
      <c r="A727" s="47"/>
      <c r="F727" s="72"/>
    </row>
    <row r="728">
      <c r="A728" s="47"/>
      <c r="F728" s="72"/>
    </row>
    <row r="729">
      <c r="A729" s="47"/>
      <c r="F729" s="72"/>
    </row>
    <row r="730">
      <c r="A730" s="47"/>
      <c r="F730" s="72"/>
    </row>
    <row r="731">
      <c r="A731" s="47"/>
      <c r="F731" s="72"/>
    </row>
    <row r="732">
      <c r="A732" s="47"/>
      <c r="F732" s="72"/>
    </row>
    <row r="733">
      <c r="A733" s="47"/>
      <c r="F733" s="72"/>
    </row>
    <row r="734">
      <c r="A734" s="47"/>
      <c r="F734" s="72"/>
    </row>
    <row r="735">
      <c r="A735" s="47"/>
      <c r="F735" s="72"/>
    </row>
    <row r="736">
      <c r="A736" s="47"/>
      <c r="F736" s="72"/>
    </row>
    <row r="737">
      <c r="A737" s="47"/>
      <c r="F737" s="72"/>
    </row>
    <row r="738">
      <c r="A738" s="47"/>
      <c r="F738" s="72"/>
    </row>
    <row r="739">
      <c r="A739" s="47"/>
      <c r="F739" s="72"/>
    </row>
    <row r="740">
      <c r="A740" s="47"/>
      <c r="F740" s="72"/>
    </row>
    <row r="741">
      <c r="A741" s="47"/>
      <c r="F741" s="72"/>
    </row>
    <row r="742">
      <c r="A742" s="47"/>
      <c r="F742" s="72"/>
    </row>
    <row r="743">
      <c r="A743" s="47"/>
      <c r="F743" s="72"/>
    </row>
    <row r="744">
      <c r="A744" s="47"/>
      <c r="F744" s="72"/>
    </row>
    <row r="745">
      <c r="A745" s="47"/>
      <c r="F745" s="72"/>
    </row>
    <row r="746">
      <c r="A746" s="47"/>
      <c r="F746" s="72"/>
    </row>
    <row r="747">
      <c r="A747" s="47"/>
      <c r="F747" s="72"/>
    </row>
    <row r="748">
      <c r="A748" s="47"/>
      <c r="F748" s="72"/>
    </row>
    <row r="749">
      <c r="A749" s="47"/>
      <c r="F749" s="72"/>
    </row>
    <row r="750">
      <c r="A750" s="47"/>
      <c r="F750" s="72"/>
    </row>
    <row r="751">
      <c r="A751" s="47"/>
      <c r="F751" s="72"/>
    </row>
    <row r="752">
      <c r="A752" s="47"/>
      <c r="F752" s="72"/>
    </row>
    <row r="753">
      <c r="A753" s="47"/>
      <c r="F753" s="72"/>
    </row>
    <row r="754">
      <c r="A754" s="47"/>
      <c r="F754" s="72"/>
    </row>
    <row r="755">
      <c r="A755" s="47"/>
      <c r="F755" s="72"/>
    </row>
    <row r="756">
      <c r="A756" s="47"/>
      <c r="F756" s="72"/>
    </row>
    <row r="757">
      <c r="A757" s="47"/>
      <c r="F757" s="72"/>
    </row>
    <row r="758">
      <c r="A758" s="47"/>
      <c r="F758" s="72"/>
    </row>
    <row r="759">
      <c r="A759" s="47"/>
      <c r="F759" s="72"/>
    </row>
    <row r="760">
      <c r="A760" s="47"/>
      <c r="F760" s="72"/>
    </row>
    <row r="761">
      <c r="A761" s="47"/>
      <c r="F761" s="72"/>
    </row>
    <row r="762">
      <c r="A762" s="47"/>
      <c r="F762" s="72"/>
    </row>
    <row r="763">
      <c r="A763" s="47"/>
      <c r="F763" s="72"/>
    </row>
    <row r="764">
      <c r="A764" s="47"/>
      <c r="F764" s="72"/>
    </row>
    <row r="765">
      <c r="A765" s="47"/>
      <c r="F765" s="72"/>
    </row>
    <row r="766">
      <c r="A766" s="47"/>
      <c r="F766" s="72"/>
    </row>
    <row r="767">
      <c r="A767" s="47"/>
      <c r="F767" s="72"/>
    </row>
    <row r="768">
      <c r="A768" s="47"/>
      <c r="F768" s="72"/>
    </row>
    <row r="769">
      <c r="A769" s="47"/>
      <c r="F769" s="72"/>
    </row>
    <row r="770">
      <c r="A770" s="47"/>
      <c r="F770" s="72"/>
    </row>
    <row r="771">
      <c r="A771" s="47"/>
      <c r="F771" s="72"/>
    </row>
    <row r="772">
      <c r="A772" s="47"/>
      <c r="F772" s="72"/>
    </row>
    <row r="773">
      <c r="A773" s="47"/>
      <c r="F773" s="72"/>
    </row>
    <row r="774">
      <c r="A774" s="47"/>
      <c r="F774" s="72"/>
    </row>
    <row r="775">
      <c r="A775" s="47"/>
      <c r="F775" s="72"/>
    </row>
    <row r="776">
      <c r="A776" s="47"/>
      <c r="F776" s="72"/>
    </row>
    <row r="777">
      <c r="A777" s="47"/>
      <c r="F777" s="72"/>
    </row>
    <row r="778">
      <c r="A778" s="47"/>
      <c r="F778" s="72"/>
    </row>
    <row r="779">
      <c r="A779" s="47"/>
      <c r="F779" s="72"/>
    </row>
    <row r="780">
      <c r="A780" s="47"/>
      <c r="F780" s="72"/>
    </row>
    <row r="781">
      <c r="A781" s="47"/>
      <c r="F781" s="72"/>
    </row>
    <row r="782">
      <c r="A782" s="47"/>
      <c r="F782" s="72"/>
    </row>
    <row r="783">
      <c r="A783" s="47"/>
      <c r="F783" s="72"/>
    </row>
    <row r="784">
      <c r="A784" s="47"/>
      <c r="F784" s="72"/>
    </row>
    <row r="785">
      <c r="A785" s="47"/>
      <c r="F785" s="72"/>
    </row>
    <row r="786">
      <c r="A786" s="47"/>
      <c r="F786" s="72"/>
    </row>
    <row r="787">
      <c r="A787" s="47"/>
      <c r="F787" s="72"/>
    </row>
    <row r="788">
      <c r="A788" s="47"/>
      <c r="F788" s="72"/>
    </row>
    <row r="789">
      <c r="A789" s="47"/>
      <c r="F789" s="72"/>
    </row>
    <row r="790">
      <c r="A790" s="47"/>
      <c r="F790" s="72"/>
    </row>
    <row r="791">
      <c r="A791" s="47"/>
      <c r="F791" s="72"/>
    </row>
    <row r="792">
      <c r="A792" s="47"/>
      <c r="F792" s="72"/>
    </row>
    <row r="793">
      <c r="A793" s="47"/>
      <c r="F793" s="72"/>
    </row>
    <row r="794">
      <c r="A794" s="47"/>
      <c r="F794" s="72"/>
    </row>
    <row r="795">
      <c r="A795" s="47"/>
      <c r="F795" s="72"/>
    </row>
    <row r="796">
      <c r="A796" s="47"/>
      <c r="F796" s="72"/>
    </row>
    <row r="797">
      <c r="A797" s="47"/>
      <c r="F797" s="72"/>
    </row>
    <row r="798">
      <c r="A798" s="47"/>
      <c r="F798" s="72"/>
    </row>
    <row r="799">
      <c r="A799" s="47"/>
      <c r="F799" s="72"/>
    </row>
    <row r="800">
      <c r="A800" s="47"/>
      <c r="F800" s="72"/>
    </row>
    <row r="801">
      <c r="A801" s="47"/>
      <c r="F801" s="72"/>
    </row>
    <row r="802">
      <c r="A802" s="47"/>
      <c r="F802" s="72"/>
    </row>
    <row r="803">
      <c r="A803" s="47"/>
      <c r="F803" s="72"/>
    </row>
    <row r="804">
      <c r="A804" s="47"/>
      <c r="F804" s="72"/>
    </row>
    <row r="805">
      <c r="A805" s="47"/>
      <c r="F805" s="72"/>
    </row>
    <row r="806">
      <c r="A806" s="47"/>
      <c r="F806" s="72"/>
    </row>
    <row r="807">
      <c r="A807" s="47"/>
      <c r="F807" s="72"/>
    </row>
    <row r="808">
      <c r="A808" s="47"/>
      <c r="F808" s="72"/>
    </row>
    <row r="809">
      <c r="A809" s="47"/>
      <c r="F809" s="72"/>
    </row>
    <row r="810">
      <c r="A810" s="47"/>
      <c r="F810" s="72"/>
    </row>
    <row r="811">
      <c r="A811" s="47"/>
      <c r="F811" s="72"/>
    </row>
    <row r="812">
      <c r="A812" s="47"/>
      <c r="F812" s="72"/>
    </row>
    <row r="813">
      <c r="A813" s="47"/>
      <c r="F813" s="72"/>
    </row>
    <row r="814">
      <c r="A814" s="47"/>
      <c r="F814" s="72"/>
    </row>
    <row r="815">
      <c r="A815" s="47"/>
      <c r="F815" s="72"/>
    </row>
    <row r="816">
      <c r="A816" s="47"/>
      <c r="F816" s="72"/>
    </row>
    <row r="817">
      <c r="A817" s="47"/>
      <c r="F817" s="72"/>
    </row>
    <row r="818">
      <c r="A818" s="47"/>
      <c r="F818" s="72"/>
    </row>
    <row r="819">
      <c r="A819" s="47"/>
      <c r="F819" s="72"/>
    </row>
    <row r="820">
      <c r="A820" s="47"/>
      <c r="F820" s="72"/>
    </row>
    <row r="821">
      <c r="A821" s="47"/>
      <c r="F821" s="72"/>
    </row>
    <row r="822">
      <c r="A822" s="47"/>
      <c r="F822" s="72"/>
    </row>
    <row r="823">
      <c r="A823" s="47"/>
      <c r="F823" s="72"/>
    </row>
    <row r="824">
      <c r="A824" s="47"/>
      <c r="F824" s="72"/>
    </row>
    <row r="825">
      <c r="A825" s="47"/>
      <c r="F825" s="72"/>
    </row>
    <row r="826">
      <c r="A826" s="47"/>
      <c r="F826" s="72"/>
    </row>
    <row r="827">
      <c r="A827" s="47"/>
      <c r="F827" s="72"/>
    </row>
    <row r="828">
      <c r="A828" s="47"/>
      <c r="F828" s="72"/>
    </row>
    <row r="829">
      <c r="A829" s="47"/>
      <c r="F829" s="72"/>
    </row>
    <row r="830">
      <c r="A830" s="47"/>
      <c r="F830" s="72"/>
    </row>
    <row r="831">
      <c r="A831" s="47"/>
      <c r="F831" s="72"/>
    </row>
    <row r="832">
      <c r="A832" s="47"/>
      <c r="F832" s="72"/>
    </row>
    <row r="833">
      <c r="A833" s="47"/>
      <c r="F833" s="72"/>
    </row>
    <row r="834">
      <c r="A834" s="47"/>
      <c r="F834" s="72"/>
    </row>
    <row r="835">
      <c r="A835" s="47"/>
      <c r="F835" s="72"/>
    </row>
    <row r="836">
      <c r="A836" s="47"/>
      <c r="F836" s="72"/>
    </row>
    <row r="837">
      <c r="A837" s="47"/>
      <c r="F837" s="72"/>
    </row>
    <row r="838">
      <c r="A838" s="47"/>
      <c r="F838" s="72"/>
    </row>
    <row r="839">
      <c r="A839" s="47"/>
      <c r="F839" s="72"/>
    </row>
    <row r="840">
      <c r="A840" s="47"/>
      <c r="F840" s="72"/>
    </row>
    <row r="841">
      <c r="A841" s="47"/>
      <c r="F841" s="72"/>
    </row>
    <row r="842">
      <c r="A842" s="47"/>
      <c r="F842" s="72"/>
    </row>
    <row r="843">
      <c r="A843" s="47"/>
      <c r="F843" s="72"/>
    </row>
    <row r="844">
      <c r="A844" s="47"/>
      <c r="F844" s="72"/>
    </row>
    <row r="845">
      <c r="A845" s="47"/>
      <c r="F845" s="72"/>
    </row>
    <row r="846">
      <c r="A846" s="47"/>
      <c r="F846" s="72"/>
    </row>
    <row r="847">
      <c r="A847" s="47"/>
      <c r="F847" s="72"/>
    </row>
    <row r="848">
      <c r="A848" s="47"/>
      <c r="F848" s="72"/>
    </row>
    <row r="849">
      <c r="A849" s="47"/>
      <c r="F849" s="72"/>
    </row>
    <row r="850">
      <c r="A850" s="47"/>
      <c r="F850" s="72"/>
    </row>
    <row r="851">
      <c r="A851" s="47"/>
      <c r="F851" s="72"/>
    </row>
    <row r="852">
      <c r="A852" s="47"/>
      <c r="F852" s="72"/>
    </row>
    <row r="853">
      <c r="A853" s="47"/>
      <c r="F853" s="72"/>
    </row>
    <row r="854">
      <c r="A854" s="47"/>
      <c r="F854" s="72"/>
    </row>
    <row r="855">
      <c r="A855" s="47"/>
      <c r="F855" s="72"/>
    </row>
    <row r="856">
      <c r="A856" s="47"/>
      <c r="F856" s="72"/>
    </row>
    <row r="857">
      <c r="A857" s="47"/>
      <c r="F857" s="72"/>
    </row>
    <row r="858">
      <c r="A858" s="47"/>
      <c r="F858" s="72"/>
    </row>
    <row r="859">
      <c r="A859" s="47"/>
      <c r="F859" s="72"/>
    </row>
    <row r="860">
      <c r="A860" s="47"/>
      <c r="F860" s="72"/>
    </row>
    <row r="861">
      <c r="A861" s="47"/>
      <c r="F861" s="72"/>
    </row>
    <row r="862">
      <c r="A862" s="47"/>
      <c r="F862" s="72"/>
    </row>
    <row r="863">
      <c r="A863" s="47"/>
      <c r="F863" s="72"/>
    </row>
    <row r="864">
      <c r="A864" s="47"/>
      <c r="F864" s="72"/>
    </row>
    <row r="865">
      <c r="A865" s="47"/>
      <c r="F865" s="72"/>
    </row>
    <row r="866">
      <c r="A866" s="47"/>
      <c r="F866" s="72"/>
    </row>
    <row r="867">
      <c r="A867" s="47"/>
      <c r="F867" s="72"/>
    </row>
    <row r="868">
      <c r="A868" s="47"/>
      <c r="F868" s="72"/>
    </row>
    <row r="869">
      <c r="A869" s="47"/>
      <c r="F869" s="72"/>
    </row>
    <row r="870">
      <c r="A870" s="47"/>
      <c r="F870" s="72"/>
    </row>
    <row r="871">
      <c r="A871" s="47"/>
      <c r="F871" s="72"/>
    </row>
    <row r="872">
      <c r="A872" s="47"/>
      <c r="F872" s="72"/>
    </row>
    <row r="873">
      <c r="A873" s="47"/>
      <c r="F873" s="72"/>
    </row>
    <row r="874">
      <c r="A874" s="47"/>
      <c r="F874" s="72"/>
    </row>
    <row r="875">
      <c r="A875" s="47"/>
      <c r="F875" s="72"/>
    </row>
    <row r="876">
      <c r="A876" s="47"/>
      <c r="F876" s="72"/>
    </row>
    <row r="877">
      <c r="A877" s="47"/>
      <c r="F877" s="72"/>
    </row>
    <row r="878">
      <c r="A878" s="47"/>
      <c r="F878" s="72"/>
    </row>
    <row r="879">
      <c r="A879" s="47"/>
      <c r="F879" s="72"/>
    </row>
    <row r="880">
      <c r="A880" s="47"/>
      <c r="F880" s="72"/>
    </row>
    <row r="881">
      <c r="A881" s="47"/>
      <c r="F881" s="72"/>
    </row>
    <row r="882">
      <c r="A882" s="47"/>
      <c r="F882" s="72"/>
    </row>
    <row r="883">
      <c r="A883" s="47"/>
      <c r="F883" s="72"/>
    </row>
    <row r="884">
      <c r="A884" s="47"/>
      <c r="F884" s="72"/>
    </row>
    <row r="885">
      <c r="A885" s="47"/>
      <c r="F885" s="72"/>
    </row>
    <row r="886">
      <c r="A886" s="47"/>
      <c r="F886" s="72"/>
    </row>
    <row r="887">
      <c r="A887" s="47"/>
      <c r="F887" s="72"/>
    </row>
    <row r="888">
      <c r="A888" s="47"/>
      <c r="F888" s="72"/>
    </row>
    <row r="889">
      <c r="A889" s="47"/>
      <c r="F889" s="72"/>
    </row>
    <row r="890">
      <c r="A890" s="47"/>
      <c r="F890" s="72"/>
    </row>
    <row r="891">
      <c r="A891" s="47"/>
      <c r="F891" s="72"/>
    </row>
    <row r="892">
      <c r="A892" s="47"/>
      <c r="F892" s="72"/>
    </row>
    <row r="893">
      <c r="A893" s="47"/>
      <c r="F893" s="72"/>
    </row>
    <row r="894">
      <c r="A894" s="47"/>
      <c r="F894" s="72"/>
    </row>
    <row r="895">
      <c r="A895" s="47"/>
      <c r="F895" s="72"/>
    </row>
    <row r="896">
      <c r="A896" s="47"/>
      <c r="F896" s="72"/>
    </row>
    <row r="897">
      <c r="A897" s="47"/>
      <c r="F897" s="72"/>
    </row>
    <row r="898">
      <c r="A898" s="47"/>
      <c r="F898" s="72"/>
    </row>
    <row r="899">
      <c r="A899" s="47"/>
      <c r="F899" s="72"/>
    </row>
    <row r="900">
      <c r="A900" s="47"/>
      <c r="F900" s="72"/>
    </row>
    <row r="901">
      <c r="A901" s="47"/>
      <c r="F901" s="72"/>
    </row>
    <row r="902">
      <c r="A902" s="47"/>
      <c r="F902" s="72"/>
    </row>
    <row r="903">
      <c r="A903" s="47"/>
      <c r="F903" s="72"/>
    </row>
    <row r="904">
      <c r="A904" s="47"/>
      <c r="F904" s="72"/>
    </row>
    <row r="905">
      <c r="A905" s="47"/>
      <c r="F905" s="72"/>
    </row>
    <row r="906">
      <c r="A906" s="47"/>
      <c r="F906" s="72"/>
    </row>
    <row r="907">
      <c r="A907" s="47"/>
      <c r="F907" s="72"/>
    </row>
    <row r="908">
      <c r="A908" s="47"/>
      <c r="F908" s="72"/>
    </row>
    <row r="909">
      <c r="A909" s="47"/>
      <c r="F909" s="72"/>
    </row>
    <row r="910">
      <c r="A910" s="47"/>
      <c r="F910" s="72"/>
    </row>
    <row r="911">
      <c r="A911" s="47"/>
      <c r="F911" s="72"/>
    </row>
    <row r="912">
      <c r="A912" s="47"/>
      <c r="F912" s="72"/>
    </row>
    <row r="913">
      <c r="A913" s="47"/>
      <c r="F913" s="72"/>
    </row>
    <row r="914">
      <c r="A914" s="47"/>
      <c r="F914" s="72"/>
    </row>
    <row r="915">
      <c r="A915" s="47"/>
      <c r="F915" s="72"/>
    </row>
    <row r="916">
      <c r="A916" s="47"/>
      <c r="F916" s="72"/>
    </row>
    <row r="917">
      <c r="A917" s="47"/>
      <c r="F917" s="72"/>
    </row>
    <row r="918">
      <c r="A918" s="47"/>
      <c r="F918" s="72"/>
    </row>
    <row r="919">
      <c r="A919" s="47"/>
      <c r="F919" s="72"/>
    </row>
    <row r="920">
      <c r="A920" s="47"/>
      <c r="F920" s="72"/>
    </row>
    <row r="921">
      <c r="A921" s="47"/>
      <c r="F921" s="72"/>
    </row>
    <row r="922">
      <c r="A922" s="47"/>
      <c r="F922" s="72"/>
    </row>
    <row r="923">
      <c r="A923" s="47"/>
      <c r="F923" s="72"/>
    </row>
    <row r="924">
      <c r="A924" s="47"/>
      <c r="F924" s="72"/>
    </row>
    <row r="925">
      <c r="A925" s="47"/>
      <c r="F925" s="72"/>
    </row>
    <row r="926">
      <c r="A926" s="47"/>
      <c r="F926" s="72"/>
    </row>
    <row r="927">
      <c r="A927" s="47"/>
      <c r="F927" s="72"/>
    </row>
    <row r="928">
      <c r="A928" s="47"/>
      <c r="F928" s="72"/>
    </row>
    <row r="929">
      <c r="A929" s="47"/>
      <c r="F929" s="72"/>
    </row>
    <row r="930">
      <c r="A930" s="47"/>
      <c r="F930" s="72"/>
    </row>
    <row r="931">
      <c r="A931" s="47"/>
      <c r="F931" s="72"/>
    </row>
    <row r="932">
      <c r="A932" s="47"/>
      <c r="F932" s="72"/>
    </row>
    <row r="933">
      <c r="A933" s="47"/>
      <c r="F933" s="72"/>
    </row>
    <row r="934">
      <c r="A934" s="47"/>
      <c r="F934" s="72"/>
    </row>
    <row r="935">
      <c r="A935" s="47"/>
      <c r="F935" s="72"/>
    </row>
    <row r="936">
      <c r="A936" s="47"/>
      <c r="F936" s="72"/>
    </row>
    <row r="937">
      <c r="A937" s="47"/>
      <c r="F937" s="72"/>
    </row>
    <row r="938">
      <c r="A938" s="47"/>
      <c r="F938" s="72"/>
    </row>
    <row r="939">
      <c r="A939" s="47"/>
      <c r="F939" s="72"/>
    </row>
    <row r="940">
      <c r="A940" s="47"/>
      <c r="F940" s="72"/>
    </row>
    <row r="941">
      <c r="A941" s="47"/>
      <c r="F941" s="72"/>
    </row>
    <row r="942">
      <c r="A942" s="47"/>
      <c r="F942" s="72"/>
    </row>
    <row r="943">
      <c r="A943" s="47"/>
      <c r="F943" s="72"/>
    </row>
    <row r="944">
      <c r="A944" s="47"/>
      <c r="F944" s="72"/>
    </row>
    <row r="945">
      <c r="A945" s="47"/>
      <c r="F945" s="72"/>
    </row>
    <row r="946">
      <c r="A946" s="47"/>
      <c r="F946" s="72"/>
    </row>
    <row r="947">
      <c r="A947" s="47"/>
      <c r="F947" s="72"/>
    </row>
    <row r="948">
      <c r="A948" s="47"/>
      <c r="F948" s="72"/>
    </row>
    <row r="949">
      <c r="A949" s="47"/>
      <c r="F949" s="72"/>
    </row>
    <row r="950">
      <c r="A950" s="47"/>
      <c r="F950" s="72"/>
    </row>
    <row r="951">
      <c r="A951" s="47"/>
      <c r="F951" s="72"/>
    </row>
    <row r="952">
      <c r="A952" s="47"/>
      <c r="F952" s="72"/>
    </row>
    <row r="953">
      <c r="A953" s="47"/>
      <c r="F953" s="72"/>
    </row>
    <row r="954">
      <c r="A954" s="47"/>
      <c r="F954" s="72"/>
    </row>
    <row r="955">
      <c r="A955" s="47"/>
      <c r="F955" s="72"/>
    </row>
    <row r="956">
      <c r="A956" s="47"/>
      <c r="F956" s="72"/>
    </row>
    <row r="957">
      <c r="A957" s="47"/>
      <c r="F957" s="72"/>
    </row>
    <row r="958">
      <c r="A958" s="47"/>
      <c r="F958" s="72"/>
    </row>
    <row r="959">
      <c r="A959" s="47"/>
      <c r="F959" s="72"/>
    </row>
    <row r="960">
      <c r="A960" s="47"/>
      <c r="F960" s="72"/>
    </row>
    <row r="961">
      <c r="A961" s="47"/>
      <c r="F961" s="72"/>
    </row>
    <row r="962">
      <c r="A962" s="47"/>
      <c r="F962" s="72"/>
    </row>
    <row r="963">
      <c r="A963" s="47"/>
      <c r="F963" s="72"/>
    </row>
    <row r="964">
      <c r="A964" s="47"/>
      <c r="F964" s="72"/>
    </row>
    <row r="965">
      <c r="A965" s="47"/>
      <c r="F965" s="72"/>
    </row>
    <row r="966">
      <c r="A966" s="47"/>
      <c r="F966" s="72"/>
    </row>
    <row r="967">
      <c r="A967" s="47"/>
      <c r="F967" s="72"/>
    </row>
    <row r="968">
      <c r="A968" s="47"/>
      <c r="F968" s="72"/>
    </row>
    <row r="969">
      <c r="A969" s="47"/>
      <c r="F969" s="72"/>
    </row>
    <row r="970">
      <c r="A970" s="47"/>
      <c r="F970" s="72"/>
    </row>
    <row r="971">
      <c r="A971" s="47"/>
      <c r="F971" s="72"/>
    </row>
    <row r="972">
      <c r="A972" s="47"/>
      <c r="F972" s="72"/>
    </row>
    <row r="973">
      <c r="A973" s="47"/>
      <c r="F973" s="72"/>
    </row>
    <row r="974">
      <c r="A974" s="47"/>
      <c r="F974" s="72"/>
    </row>
    <row r="975">
      <c r="A975" s="47"/>
      <c r="F975" s="72"/>
    </row>
    <row r="976">
      <c r="A976" s="47"/>
      <c r="F976" s="72"/>
    </row>
    <row r="977">
      <c r="A977" s="47"/>
      <c r="F977" s="72"/>
    </row>
    <row r="978">
      <c r="A978" s="47"/>
      <c r="F978" s="72"/>
    </row>
    <row r="979">
      <c r="A979" s="47"/>
      <c r="F979" s="72"/>
    </row>
    <row r="980">
      <c r="A980" s="47"/>
      <c r="F980" s="72"/>
    </row>
    <row r="981">
      <c r="A981" s="47"/>
      <c r="F981" s="72"/>
    </row>
    <row r="982">
      <c r="A982" s="47"/>
      <c r="F982" s="72"/>
    </row>
    <row r="983">
      <c r="A983" s="47"/>
      <c r="F983" s="72"/>
    </row>
    <row r="984">
      <c r="A984" s="47"/>
      <c r="F984" s="72"/>
    </row>
    <row r="985">
      <c r="A985" s="47"/>
      <c r="F985" s="72"/>
    </row>
    <row r="986">
      <c r="A986" s="47"/>
      <c r="F986" s="72"/>
    </row>
    <row r="987">
      <c r="A987" s="47"/>
      <c r="F987" s="72"/>
    </row>
    <row r="988">
      <c r="A988" s="47"/>
      <c r="F988" s="72"/>
    </row>
    <row r="989">
      <c r="A989" s="47"/>
      <c r="F989" s="72"/>
    </row>
    <row r="990">
      <c r="A990" s="47"/>
      <c r="F990" s="72"/>
    </row>
    <row r="991">
      <c r="A991" s="47"/>
      <c r="F991" s="72"/>
    </row>
    <row r="992">
      <c r="A992" s="47"/>
      <c r="F992" s="72"/>
    </row>
    <row r="993">
      <c r="A993" s="47"/>
      <c r="F993" s="72"/>
    </row>
    <row r="994">
      <c r="A994" s="47"/>
      <c r="F994" s="72"/>
    </row>
    <row r="995">
      <c r="A995" s="47"/>
      <c r="F995" s="72"/>
    </row>
  </sheetData>
  <dataValidations>
    <dataValidation type="list" allowBlank="1" showDropDown="1" showErrorMessage="1" sqref="E2:E146">
      <formula1>"Meses,Días,Semanas"</formula1>
    </dataValidation>
    <dataValidation type="custom" allowBlank="1" showDropDown="1" sqref="G2:H146">
      <formula1>OR(NOT(ISERROR(DATEVALUE(G2))), AND(ISNUMBER(G2), LEFT(CELL("format", G2))="D"))</formula1>
    </dataValidation>
    <dataValidation type="list" allowBlank="1" sqref="C2:C146">
      <formula1>"Entregable Nivel 2,Tarea Nivel 3,Hito"</formula1>
    </dataValidation>
    <dataValidation type="custom" allowBlank="1" showDropDown="1" sqref="D2:D146">
      <formula1>AND(ISNUMBER(D2),(NOT(OR(NOT(ISERROR(DATEVALUE(D2))), AND(ISNUMBER(D2), LEFT(CELL("format", D2))="D")))))</formula1>
    </dataValidation>
    <dataValidation type="list" allowBlank="1" sqref="I2:I146">
      <formula1>"En Proceso,Completado,No Iniciado,En Pausa,No completado,Retrasado"</formula1>
    </dataValidation>
    <dataValidation allowBlank="1" showDropDown="1" sqref="J2:J146"/>
  </dataValidations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  <col customWidth="1" min="4" max="4" width="16.38"/>
    <col customWidth="1" min="5" max="5" width="29.0"/>
  </cols>
  <sheetData>
    <row r="1" ht="22.5" customHeight="1">
      <c r="A1" s="1" t="s">
        <v>0</v>
      </c>
      <c r="B1" s="2" t="s">
        <v>1</v>
      </c>
      <c r="C1" s="2" t="s">
        <v>3</v>
      </c>
      <c r="D1" s="2" t="s">
        <v>6</v>
      </c>
      <c r="E1" s="2" t="s">
        <v>8</v>
      </c>
      <c r="F1" s="2" t="s">
        <v>10</v>
      </c>
      <c r="G1" s="4" t="s">
        <v>4</v>
      </c>
    </row>
    <row r="2" ht="22.5" customHeight="1">
      <c r="A2" s="8">
        <f>'Diagrama de Gantt - Estructura '!A2</f>
        <v>1</v>
      </c>
      <c r="B2" s="10" t="str">
        <f>'Diagrama de Gantt - Estructura '!B2</f>
        <v>INICIO Y PLANIFICACIÓN</v>
      </c>
      <c r="C2" s="10" t="str">
        <f>'Diagrama de Gantt - Estructura '!K2</f>
        <v>Base de planificación</v>
      </c>
      <c r="D2" s="13">
        <f>'Diagrama de Gantt - Estructura '!G2</f>
        <v>46263</v>
      </c>
      <c r="E2" s="10" t="str">
        <f>'Diagrama de Gantt - Estructura '!F2</f>
        <v>Ambos</v>
      </c>
      <c r="F2" s="10" t="str">
        <f>'Diagrama de Gantt - Estructura '!I2</f>
        <v>Completado</v>
      </c>
      <c r="G2" s="10" t="str">
        <f>'Diagrama de Gantt - Estructura '!C2</f>
        <v>Entregable Nivel 2</v>
      </c>
      <c r="I2" s="14"/>
    </row>
    <row r="3" ht="22.5" customHeight="1">
      <c r="A3" s="8">
        <f>'Diagrama de Gantt - Estructura '!A3</f>
        <v>1.1</v>
      </c>
      <c r="B3" s="10" t="str">
        <f>'Diagrama de Gantt - Estructura '!B3</f>
        <v>Definir metodología de trabajo</v>
      </c>
      <c r="C3" s="10" t="str">
        <f>'Diagrama de Gantt - Estructura '!K3</f>
        <v>Metodología acordada</v>
      </c>
      <c r="D3" s="13">
        <f>'Diagrama de Gantt - Estructura '!G3</f>
        <v>46263</v>
      </c>
      <c r="E3" s="10" t="str">
        <f>'Diagrama de Gantt - Estructura '!F3</f>
        <v>Tú</v>
      </c>
      <c r="F3" s="10" t="str">
        <f>'Diagrama de Gantt - Estructura '!I3</f>
        <v>Completado</v>
      </c>
      <c r="G3" s="10" t="str">
        <f>'Diagrama de Gantt - Estructura '!C3</f>
        <v>Tarea Nivel 3</v>
      </c>
    </row>
    <row r="4" ht="22.5" customHeight="1">
      <c r="A4" s="8">
        <f>'Diagrama de Gantt - Estructura '!A4</f>
        <v>1.2</v>
      </c>
      <c r="B4" s="10" t="str">
        <f>'Diagrama de Gantt - Estructura '!B4</f>
        <v>Definir herramientas y repositorios</v>
      </c>
      <c r="C4" s="10" t="str">
        <f>'Diagrama de Gantt - Estructura '!K4</f>
        <v>Herramientas configuradas</v>
      </c>
      <c r="D4" s="13">
        <f>'Diagrama de Gantt - Estructura '!G4</f>
        <v>46265</v>
      </c>
      <c r="E4" s="10" t="str">
        <f>'Diagrama de Gantt - Estructura '!F4</f>
        <v>Saul</v>
      </c>
      <c r="F4" s="10" t="str">
        <f>'Diagrama de Gantt - Estructura '!I4</f>
        <v>Completado</v>
      </c>
      <c r="G4" s="10" t="str">
        <f>'Diagrama de Gantt - Estructura '!C4</f>
        <v>Tarea Nivel 3</v>
      </c>
    </row>
    <row r="5" ht="22.5" customHeight="1">
      <c r="A5" s="8">
        <f>'Diagrama de Gantt - Estructura '!A5</f>
        <v>1.3</v>
      </c>
      <c r="B5" s="10" t="str">
        <f>'Diagrama de Gantt - Estructura '!B5</f>
        <v>Elaborar mapa de interesados</v>
      </c>
      <c r="C5" s="10" t="str">
        <f>'Diagrama de Gantt - Estructura '!K5</f>
        <v>Mapa de interesados</v>
      </c>
      <c r="D5" s="13">
        <f>'Diagrama de Gantt - Estructura '!G5</f>
        <v>46265</v>
      </c>
      <c r="E5" s="10" t="str">
        <f>'Diagrama de Gantt - Estructura '!F5</f>
        <v>Tú</v>
      </c>
      <c r="F5" s="10" t="str">
        <f>'Diagrama de Gantt - Estructura '!I5</f>
        <v>Completado</v>
      </c>
      <c r="G5" s="10" t="str">
        <f>'Diagrama de Gantt - Estructura '!C5</f>
        <v>Tarea Nivel 3</v>
      </c>
    </row>
    <row r="6" ht="22.5" customHeight="1">
      <c r="A6" s="8">
        <f>'Diagrama de Gantt - Estructura '!A6</f>
        <v>1.4</v>
      </c>
      <c r="B6" s="10" t="str">
        <f>'Diagrama de Gantt - Estructura '!B6</f>
        <v>Revisar propósito, objetivos y alcance</v>
      </c>
      <c r="C6" s="10" t="str">
        <f>'Diagrama de Gantt - Estructura '!K6</f>
        <v>Alcance validado</v>
      </c>
      <c r="D6" s="13">
        <f>'Diagrama de Gantt - Estructura '!G6</f>
        <v>46266</v>
      </c>
      <c r="E6" s="10" t="str">
        <f>'Diagrama de Gantt - Estructura '!F6</f>
        <v>Ambos</v>
      </c>
      <c r="F6" s="10" t="str">
        <f>'Diagrama de Gantt - Estructura '!I6</f>
        <v>Completado</v>
      </c>
      <c r="G6" s="10" t="str">
        <f>'Diagrama de Gantt - Estructura '!C6</f>
        <v>Tarea Nivel 3</v>
      </c>
    </row>
    <row r="7" ht="22.5" customHeight="1">
      <c r="A7" s="8">
        <f>'Diagrama de Gantt - Estructura '!A7</f>
        <v>1.5</v>
      </c>
      <c r="B7" s="10" t="str">
        <f>'Diagrama de Gantt - Estructura '!B7</f>
        <v>Definir esquema de comunicación del equipo</v>
      </c>
      <c r="C7" s="10" t="str">
        <f>'Diagrama de Gantt - Estructura '!K7</f>
        <v>Esquema de comunicación</v>
      </c>
      <c r="D7" s="13">
        <f>'Diagrama de Gantt - Estructura '!G7</f>
        <v>46266</v>
      </c>
      <c r="E7" s="10" t="str">
        <f>'Diagrama de Gantt - Estructura '!F7</f>
        <v>Saul</v>
      </c>
      <c r="F7" s="10" t="str">
        <f>'Diagrama de Gantt - Estructura '!I7</f>
        <v>Completado</v>
      </c>
      <c r="G7" s="10" t="str">
        <f>'Diagrama de Gantt - Estructura '!C7</f>
        <v>Tarea Nivel 3</v>
      </c>
    </row>
    <row r="8" ht="22.5" customHeight="1">
      <c r="A8" s="8">
        <f>'Diagrama de Gantt - Estructura '!A8</f>
        <v>1.6</v>
      </c>
      <c r="B8" s="10" t="str">
        <f>'Diagrama de Gantt - Estructura '!B8</f>
        <v>Preparar estructura documental del proyecto</v>
      </c>
      <c r="C8" s="10" t="str">
        <f>'Diagrama de Gantt - Estructura '!K8</f>
        <v>Estructura documental</v>
      </c>
      <c r="D8" s="13">
        <f>'Diagrama de Gantt - Estructura '!G8</f>
        <v>46267</v>
      </c>
      <c r="E8" s="10" t="str">
        <f>'Diagrama de Gantt - Estructura '!F8</f>
        <v>Tú</v>
      </c>
      <c r="F8" s="10" t="str">
        <f>'Diagrama de Gantt - Estructura '!I8</f>
        <v>Completado</v>
      </c>
      <c r="G8" s="10" t="str">
        <f>'Diagrama de Gantt - Estructura '!C8</f>
        <v>Tarea Nivel 3</v>
      </c>
    </row>
    <row r="9" ht="22.5" customHeight="1">
      <c r="A9" s="8">
        <f>'Diagrama de Gantt - Estructura '!A9</f>
        <v>1.7</v>
      </c>
      <c r="B9" s="10" t="str">
        <f>'Diagrama de Gantt - Estructura '!B9</f>
        <v>Preparar ambiente inicial de desarrollo</v>
      </c>
      <c r="C9" s="10" t="str">
        <f>'Diagrama de Gantt - Estructura '!K9</f>
        <v>Entorno inicial</v>
      </c>
      <c r="D9" s="13">
        <f>'Diagrama de Gantt - Estructura '!G9</f>
        <v>46268</v>
      </c>
      <c r="E9" s="10" t="str">
        <f>'Diagrama de Gantt - Estructura '!F9</f>
        <v>Saul</v>
      </c>
      <c r="F9" s="10" t="str">
        <f>'Diagrama de Gantt - Estructura '!I9</f>
        <v>Completado</v>
      </c>
      <c r="G9" s="10" t="str">
        <f>'Diagrama de Gantt - Estructura '!C9</f>
        <v>Tarea Nivel 3</v>
      </c>
    </row>
    <row r="10" ht="22.5" customHeight="1">
      <c r="A10" s="8">
        <f>'Diagrama de Gantt - Estructura '!A10</f>
        <v>1.8</v>
      </c>
      <c r="B10" s="10" t="str">
        <f>'Diagrama de Gantt - Estructura '!B10</f>
        <v>Revisión de planificación inicial</v>
      </c>
      <c r="C10" s="10" t="str">
        <f>'Diagrama de Gantt - Estructura '!K10</f>
        <v>Planificación inicial</v>
      </c>
      <c r="D10" s="13">
        <f>'Diagrama de Gantt - Estructura '!G10</f>
        <v>46268</v>
      </c>
      <c r="E10" s="10" t="str">
        <f>'Diagrama de Gantt - Estructura '!F10</f>
        <v>Ambos</v>
      </c>
      <c r="F10" s="10" t="str">
        <f>'Diagrama de Gantt - Estructura '!I10</f>
        <v>Completado</v>
      </c>
      <c r="G10" s="10" t="str">
        <f>'Diagrama de Gantt - Estructura '!C10</f>
        <v>Tarea Nivel 3</v>
      </c>
    </row>
    <row r="11" ht="22.5" customHeight="1">
      <c r="A11" s="8">
        <f>'Diagrama de Gantt - Estructura '!A11</f>
        <v>2</v>
      </c>
      <c r="B11" s="10" t="str">
        <f>'Diagrama de Gantt - Estructura '!B11</f>
        <v>REQUISITOS Y DISEÑO FUNCIONAL</v>
      </c>
      <c r="C11" s="10" t="str">
        <f>'Diagrama de Gantt - Estructura '!K11</f>
        <v>Especificación funcional</v>
      </c>
      <c r="D11" s="13">
        <f>'Diagrama de Gantt - Estructura '!G11</f>
        <v>46269</v>
      </c>
      <c r="E11" s="10" t="str">
        <f>'Diagrama de Gantt - Estructura '!F11</f>
        <v>Ambos</v>
      </c>
      <c r="F11" s="10" t="str">
        <f>'Diagrama de Gantt - Estructura '!I11</f>
        <v>En Proceso</v>
      </c>
      <c r="G11" s="10" t="str">
        <f>'Diagrama de Gantt - Estructura '!C11</f>
        <v>Entregable Nivel 2</v>
      </c>
    </row>
    <row r="12" ht="22.5" customHeight="1">
      <c r="A12" s="8">
        <f>'Diagrama de Gantt - Estructura '!A12</f>
        <v>2.1</v>
      </c>
      <c r="B12" s="10" t="str">
        <f>'Diagrama de Gantt - Estructura '!B12</f>
        <v>Levantamiento de requisitos funcionales</v>
      </c>
      <c r="C12" s="10" t="str">
        <f>'Diagrama de Gantt - Estructura '!K12</f>
        <v>Requisitos funcionales</v>
      </c>
      <c r="D12" s="13">
        <f>'Diagrama de Gantt - Estructura '!G12</f>
        <v>46269</v>
      </c>
      <c r="E12" s="10" t="str">
        <f>'Diagrama de Gantt - Estructura '!F12</f>
        <v>Tú</v>
      </c>
      <c r="F12" s="10" t="str">
        <f>'Diagrama de Gantt - Estructura '!I12</f>
        <v>Completado</v>
      </c>
      <c r="G12" s="10" t="str">
        <f>'Diagrama de Gantt - Estructura '!C12</f>
        <v>Tarea Nivel 3</v>
      </c>
    </row>
    <row r="13" ht="22.5" customHeight="1">
      <c r="A13" s="8">
        <f>'Diagrama de Gantt - Estructura '!A13</f>
        <v>2.2</v>
      </c>
      <c r="B13" s="10" t="str">
        <f>'Diagrama de Gantt - Estructura '!B13</f>
        <v>Levantamiento de requisitos no funcionales</v>
      </c>
      <c r="C13" s="10" t="str">
        <f>'Diagrama de Gantt - Estructura '!K13</f>
        <v>Requisitos no funcionales</v>
      </c>
      <c r="D13" s="13">
        <f>'Diagrama de Gantt - Estructura '!G13</f>
        <v>46269</v>
      </c>
      <c r="E13" s="10" t="str">
        <f>'Diagrama de Gantt - Estructura '!F13</f>
        <v>Saul</v>
      </c>
      <c r="F13" s="10" t="str">
        <f>'Diagrama de Gantt - Estructura '!I13</f>
        <v>Completado</v>
      </c>
      <c r="G13" s="10" t="str">
        <f>'Diagrama de Gantt - Estructura '!C13</f>
        <v>Tarea Nivel 3</v>
      </c>
    </row>
    <row r="14" ht="22.5" customHeight="1">
      <c r="A14" s="8">
        <f>'Diagrama de Gantt - Estructura '!A14</f>
        <v>2.3</v>
      </c>
      <c r="B14" s="10" t="str">
        <f>'Diagrama de Gantt - Estructura '!B14</f>
        <v>Definir reglas de negocio</v>
      </c>
      <c r="C14" s="10" t="str">
        <f>'Diagrama de Gantt - Estructura '!K14</f>
        <v>Reglas de negocio</v>
      </c>
      <c r="D14" s="13">
        <f>'Diagrama de Gantt - Estructura '!G14</f>
        <v>46272</v>
      </c>
      <c r="E14" s="10" t="str">
        <f>'Diagrama de Gantt - Estructura '!F14</f>
        <v>Ambos</v>
      </c>
      <c r="F14" s="10" t="str">
        <f>'Diagrama de Gantt - Estructura '!I14</f>
        <v>Completado</v>
      </c>
      <c r="G14" s="10" t="str">
        <f>'Diagrama de Gantt - Estructura '!C14</f>
        <v>Tarea Nivel 3</v>
      </c>
    </row>
    <row r="15" ht="22.5" customHeight="1">
      <c r="A15" s="8">
        <f>'Diagrama de Gantt - Estructura '!A15</f>
        <v>2.4</v>
      </c>
      <c r="B15" s="10" t="str">
        <f>'Diagrama de Gantt - Estructura '!B15</f>
        <v>Definir flujo de registro de estudiantes</v>
      </c>
      <c r="C15" s="10" t="str">
        <f>'Diagrama de Gantt - Estructura '!K15</f>
        <v>Flujo de registro de estudiantes</v>
      </c>
      <c r="D15" s="13">
        <f>'Diagrama de Gantt - Estructura '!G15</f>
        <v>46273</v>
      </c>
      <c r="E15" s="10" t="str">
        <f>'Diagrama de Gantt - Estructura '!F15</f>
        <v>Tú</v>
      </c>
      <c r="F15" s="10" t="str">
        <f>'Diagrama de Gantt - Estructura '!I15</f>
        <v>Completado</v>
      </c>
      <c r="G15" s="10" t="str">
        <f>'Diagrama de Gantt - Estructura '!C15</f>
        <v>Tarea Nivel 3</v>
      </c>
    </row>
    <row r="16" ht="22.5" customHeight="1">
      <c r="A16" s="8">
        <f>'Diagrama de Gantt - Estructura '!A16</f>
        <v>2.5</v>
      </c>
      <c r="B16" s="10" t="str">
        <f>'Diagrama de Gantt - Estructura '!B16</f>
        <v>Definir flujo de creación de qr</v>
      </c>
      <c r="C16" s="10" t="str">
        <f>'Diagrama de Gantt - Estructura '!K16</f>
        <v>Flujo creación del QR</v>
      </c>
      <c r="D16" s="13">
        <f>'Diagrama de Gantt - Estructura '!G16</f>
        <v>46273</v>
      </c>
      <c r="E16" s="10" t="str">
        <f>'Diagrama de Gantt - Estructura '!F16</f>
        <v>Saul</v>
      </c>
      <c r="F16" s="10" t="str">
        <f>'Diagrama de Gantt - Estructura '!I16</f>
        <v>Completado</v>
      </c>
      <c r="G16" s="10" t="str">
        <f>'Diagrama de Gantt - Estructura '!C16</f>
        <v>Tarea Nivel 3</v>
      </c>
    </row>
    <row r="17" ht="22.5" customHeight="1">
      <c r="A17" s="8">
        <f>'Diagrama de Gantt - Estructura '!A17</f>
        <v>2.6</v>
      </c>
      <c r="B17" s="10" t="str">
        <f>'Diagrama de Gantt - Estructura '!B17</f>
        <v>Definir flujo de asistencia de estudiantes, docentes y personal administrativo</v>
      </c>
      <c r="C17" s="10" t="str">
        <f>'Diagrama de Gantt - Estructura '!K17</f>
        <v>Flujo de asistencia por tipo de usuario</v>
      </c>
      <c r="D17" s="13">
        <f>'Diagrama de Gantt - Estructura '!G17</f>
        <v>46274</v>
      </c>
      <c r="E17" s="10" t="str">
        <f>'Diagrama de Gantt - Estructura '!F17</f>
        <v>Saul</v>
      </c>
      <c r="F17" s="10" t="str">
        <f>'Diagrama de Gantt - Estructura '!I17</f>
        <v>Completado</v>
      </c>
      <c r="G17" s="10" t="str">
        <f>'Diagrama de Gantt - Estructura '!C17</f>
        <v>Tarea Nivel 3</v>
      </c>
    </row>
    <row r="18" ht="22.5" customHeight="1">
      <c r="A18" s="8">
        <f>'Diagrama de Gantt - Estructura '!A18</f>
        <v>2.7</v>
      </c>
      <c r="B18" s="10" t="str">
        <f>'Diagrama de Gantt - Estructura '!B18</f>
        <v>Definir flujo de incidencias y clasificacion de reportes</v>
      </c>
      <c r="C18" s="10" t="str">
        <f>'Diagrama de Gantt - Estructura '!K18</f>
        <v>Flujo de incidencias y clasificación</v>
      </c>
      <c r="D18" s="13">
        <f>'Diagrama de Gantt - Estructura '!G18</f>
        <v>46275</v>
      </c>
      <c r="E18" s="10" t="str">
        <f>'Diagrama de Gantt - Estructura '!F18</f>
        <v>Tú</v>
      </c>
      <c r="F18" s="10" t="str">
        <f>'Diagrama de Gantt - Estructura '!I18</f>
        <v>Completado</v>
      </c>
      <c r="G18" s="10" t="str">
        <f>'Diagrama de Gantt - Estructura '!C18</f>
        <v>Tarea Nivel 3</v>
      </c>
    </row>
    <row r="19" ht="22.5" customHeight="1">
      <c r="A19" s="8">
        <f>'Diagrama de Gantt - Estructura '!A19</f>
        <v>2.8</v>
      </c>
      <c r="B19" s="10" t="str">
        <f>'Diagrama de Gantt - Estructura '!B19</f>
        <v>Definir flujo y reglas de reportes escolares</v>
      </c>
      <c r="C19" s="10" t="str">
        <f>'Diagrama de Gantt - Estructura '!K19</f>
        <v>Flujo y reglas de reportes</v>
      </c>
      <c r="D19" s="13">
        <f>'Diagrama de Gantt - Estructura '!G19</f>
        <v>46276</v>
      </c>
      <c r="E19" s="10" t="str">
        <f>'Diagrama de Gantt - Estructura '!F19</f>
        <v>Tú</v>
      </c>
      <c r="F19" s="10" t="str">
        <f>'Diagrama de Gantt - Estructura '!I19</f>
        <v>Completado</v>
      </c>
      <c r="G19" s="10" t="str">
        <f>'Diagrama de Gantt - Estructura '!C19</f>
        <v>Tarea Nivel 3</v>
      </c>
    </row>
    <row r="20" ht="22.5" customHeight="1">
      <c r="A20" s="8">
        <f>'Diagrama de Gantt - Estructura '!A20</f>
        <v>2.9</v>
      </c>
      <c r="B20" s="10" t="str">
        <f>'Diagrama de Gantt - Estructura '!B20</f>
        <v>Definir flujo de comunicación con familiares a partir de reportes autorizados</v>
      </c>
      <c r="C20" s="10" t="str">
        <f>'Diagrama de Gantt - Estructura '!K20</f>
        <v>Flujo de comunicación</v>
      </c>
      <c r="D20" s="13">
        <f>'Diagrama de Gantt - Estructura '!G20</f>
        <v>46278</v>
      </c>
      <c r="E20" s="10" t="str">
        <f>'Diagrama de Gantt - Estructura '!F20</f>
        <v>Saul</v>
      </c>
      <c r="F20" s="10" t="str">
        <f>'Diagrama de Gantt - Estructura '!I20</f>
        <v>Completado</v>
      </c>
      <c r="G20" s="10" t="str">
        <f>'Diagrama de Gantt - Estructura '!C20</f>
        <v>Tarea Nivel 3</v>
      </c>
    </row>
    <row r="21" ht="22.5" customHeight="1">
      <c r="A21" s="8" t="str">
        <f>'Diagrama de Gantt - Estructura '!A21</f>
        <v>2,10</v>
      </c>
      <c r="B21" s="10" t="str">
        <f>'Diagrama de Gantt - Estructura '!B21</f>
        <v>Elaborar historias de usuario</v>
      </c>
      <c r="C21" s="10" t="str">
        <f>'Diagrama de Gantt - Estructura '!K21</f>
        <v>Historias de usuario</v>
      </c>
      <c r="D21" s="13">
        <f>'Diagrama de Gantt - Estructura '!G21</f>
        <v>46280</v>
      </c>
      <c r="E21" s="10" t="str">
        <f>'Diagrama de Gantt - Estructura '!F21</f>
        <v>Tú</v>
      </c>
      <c r="F21" s="10" t="str">
        <f>'Diagrama de Gantt - Estructura '!I21</f>
        <v>En Proceso</v>
      </c>
      <c r="G21" s="10" t="str">
        <f>'Diagrama de Gantt - Estructura '!C21</f>
        <v>Tarea Nivel 3</v>
      </c>
    </row>
    <row r="22" ht="22.5" customHeight="1">
      <c r="A22" s="8">
        <f>'Diagrama de Gantt - Estructura '!A22</f>
        <v>2.11</v>
      </c>
      <c r="B22" s="10" t="str">
        <f>'Diagrama de Gantt - Estructura '!B22</f>
        <v>Definir criterios de aceptación específicos</v>
      </c>
      <c r="C22" s="10" t="str">
        <f>'Diagrama de Gantt - Estructura '!K22</f>
        <v>Criterios de aceptación</v>
      </c>
      <c r="D22" s="13">
        <f>'Diagrama de Gantt - Estructura '!G22</f>
        <v>46283</v>
      </c>
      <c r="E22" s="10" t="str">
        <f>'Diagrama de Gantt - Estructura '!F22</f>
        <v>Ambos</v>
      </c>
      <c r="F22" s="10" t="str">
        <f>'Diagrama de Gantt - Estructura '!I22</f>
        <v>En Proceso</v>
      </c>
      <c r="G22" s="10" t="str">
        <f>'Diagrama de Gantt - Estructura '!C22</f>
        <v>Tarea Nivel 3</v>
      </c>
    </row>
    <row r="23" ht="22.5" customHeight="1">
      <c r="A23" s="8">
        <f>'Diagrama de Gantt - Estructura '!A23</f>
        <v>2.12</v>
      </c>
      <c r="B23" s="10" t="str">
        <f>'Diagrama de Gantt - Estructura '!B23</f>
        <v>Validar requisitos con institución</v>
      </c>
      <c r="C23" s="10" t="str">
        <f>'Diagrama de Gantt - Estructura '!K23</f>
        <v>Requisitos aprobados</v>
      </c>
      <c r="D23" s="13">
        <f>'Diagrama de Gantt - Estructura '!G23</f>
        <v>46284</v>
      </c>
      <c r="E23" s="10" t="str">
        <f>'Diagrama de Gantt - Estructura '!F23</f>
        <v>Ambos</v>
      </c>
      <c r="F23" s="10" t="str">
        <f>'Diagrama de Gantt - Estructura '!I23</f>
        <v>Completado</v>
      </c>
      <c r="G23" s="10" t="str">
        <f>'Diagrama de Gantt - Estructura '!C23</f>
        <v>Tarea Nivel 3</v>
      </c>
    </row>
    <row r="24" ht="22.5" customHeight="1">
      <c r="A24" s="8">
        <f>'Diagrama de Gantt - Estructura '!A24</f>
        <v>3</v>
      </c>
      <c r="B24" s="10" t="str">
        <f>'Diagrama de Gantt - Estructura '!B24</f>
        <v>BASE FUNCIONAL Y GENERACIÓN DE QR</v>
      </c>
      <c r="C24" s="10" t="str">
        <f>'Diagrama de Gantt - Estructura '!K24</f>
        <v>Sistema QR funcional + códigos validados</v>
      </c>
      <c r="D24" s="18">
        <f>'Diagrama de Gantt - Estructura '!G24</f>
        <v>46286</v>
      </c>
      <c r="E24" s="10" t="str">
        <f>'Diagrama de Gantt - Estructura '!F24</f>
        <v>Ambos</v>
      </c>
      <c r="F24" s="10" t="str">
        <f>'Diagrama de Gantt - Estructura '!I24</f>
        <v>En Proceso</v>
      </c>
      <c r="G24" s="10" t="str">
        <f>'Diagrama de Gantt - Estructura '!C24</f>
        <v>Entregable Nivel 2</v>
      </c>
    </row>
    <row r="25" ht="22.5" customHeight="1">
      <c r="A25" s="8">
        <f>'Diagrama de Gantt - Estructura '!A25</f>
        <v>3.1</v>
      </c>
      <c r="B25" s="10" t="str">
        <f>'Diagrama de Gantt - Estructura '!B25</f>
        <v>Diseñar arquitectura inicial</v>
      </c>
      <c r="C25" s="10" t="str">
        <f>'Diagrama de Gantt - Estructura '!K25</f>
        <v>Arquitectura inicial</v>
      </c>
      <c r="D25" s="13">
        <f>'Diagrama de Gantt - Estructura '!G25</f>
        <v>46287</v>
      </c>
      <c r="E25" s="10" t="str">
        <f>'Diagrama de Gantt - Estructura '!F25</f>
        <v>Saul</v>
      </c>
      <c r="F25" s="10" t="str">
        <f>'Diagrama de Gantt - Estructura '!I25</f>
        <v>En Proceso</v>
      </c>
      <c r="G25" s="10" t="str">
        <f>'Diagrama de Gantt - Estructura '!C25</f>
        <v>Tarea Nivel 3</v>
      </c>
    </row>
    <row r="26" ht="22.5" customHeight="1">
      <c r="A26" s="8">
        <f>'Diagrama de Gantt - Estructura '!A26</f>
        <v>3.2</v>
      </c>
      <c r="B26" s="10" t="str">
        <f>'Diagrama de Gantt - Estructura '!B26</f>
        <v>Diseñar modelo de datos inicial</v>
      </c>
      <c r="C26" s="10" t="str">
        <f>'Diagrama de Gantt - Estructura '!K26</f>
        <v>Modelo de datos</v>
      </c>
      <c r="D26" s="13">
        <f>'Diagrama de Gantt - Estructura '!G26</f>
        <v>46287</v>
      </c>
      <c r="E26" s="10" t="str">
        <f>'Diagrama de Gantt - Estructura '!F26</f>
        <v>Saul</v>
      </c>
      <c r="F26" s="10" t="str">
        <f>'Diagrama de Gantt - Estructura '!I26</f>
        <v>En Proceso</v>
      </c>
      <c r="G26" s="10" t="str">
        <f>'Diagrama de Gantt - Estructura '!C26</f>
        <v>Tarea Nivel 3</v>
      </c>
    </row>
    <row r="27" ht="22.5" customHeight="1">
      <c r="A27" s="8">
        <f>'Diagrama de Gantt - Estructura '!A27</f>
        <v>3.3</v>
      </c>
      <c r="B27" s="10" t="str">
        <f>'Diagrama de Gantt - Estructura '!B27</f>
        <v>Configurar proyecto Next.js/TypeScript</v>
      </c>
      <c r="C27" s="10" t="str">
        <f>'Diagrama de Gantt - Estructura '!K27</f>
        <v>Proyecto base</v>
      </c>
      <c r="D27" s="13">
        <f>'Diagrama de Gantt - Estructura '!G27</f>
        <v>46289</v>
      </c>
      <c r="E27" s="10" t="str">
        <f>'Diagrama de Gantt - Estructura '!F27</f>
        <v>Saul</v>
      </c>
      <c r="F27" s="10" t="str">
        <f>'Diagrama de Gantt - Estructura '!I27</f>
        <v>En Proceso</v>
      </c>
      <c r="G27" s="10" t="str">
        <f>'Diagrama de Gantt - Estructura '!C27</f>
        <v>Tarea Nivel 3</v>
      </c>
    </row>
    <row r="28" ht="22.5" customHeight="1">
      <c r="A28" s="8">
        <f>'Diagrama de Gantt - Estructura '!A28</f>
        <v>3.4</v>
      </c>
      <c r="B28" s="10" t="str">
        <f>'Diagrama de Gantt - Estructura '!B28</f>
        <v>Configurar PostgreSQL</v>
      </c>
      <c r="C28" s="10" t="str">
        <f>'Diagrama de Gantt - Estructura '!K28</f>
        <v>BD inicial</v>
      </c>
      <c r="D28" s="13">
        <f>'Diagrama de Gantt - Estructura '!G28</f>
        <v>46289</v>
      </c>
      <c r="E28" s="10" t="str">
        <f>'Diagrama de Gantt - Estructura '!F28</f>
        <v>Saul</v>
      </c>
      <c r="F28" s="10" t="str">
        <f>'Diagrama de Gantt - Estructura '!I28</f>
        <v>En Proceso</v>
      </c>
      <c r="G28" s="10" t="str">
        <f>'Diagrama de Gantt - Estructura '!C28</f>
        <v>Tarea Nivel 3</v>
      </c>
    </row>
    <row r="29" ht="22.5" customHeight="1">
      <c r="A29" s="8">
        <f>'Diagrama de Gantt - Estructura '!A29</f>
        <v>3.5</v>
      </c>
      <c r="B29" s="10" t="str">
        <f>'Diagrama de Gantt - Estructura '!B29</f>
        <v>Implementar backend/API base</v>
      </c>
      <c r="C29" s="10" t="str">
        <f>'Diagrama de Gantt - Estructura '!K29</f>
        <v>API base</v>
      </c>
      <c r="D29" s="13">
        <f>'Diagrama de Gantt - Estructura '!G29</f>
        <v>46292</v>
      </c>
      <c r="E29" s="10" t="str">
        <f>'Diagrama de Gantt - Estructura '!F29</f>
        <v>Saul</v>
      </c>
      <c r="F29" s="10" t="str">
        <f>'Diagrama de Gantt - Estructura '!I29</f>
        <v>En Proceso</v>
      </c>
      <c r="G29" s="10" t="str">
        <f>'Diagrama de Gantt - Estructura '!C29</f>
        <v>Tarea Nivel 3</v>
      </c>
    </row>
    <row r="30" ht="22.5" customHeight="1">
      <c r="A30" s="8">
        <f>'Diagrama de Gantt - Estructura '!A30</f>
        <v>3.6</v>
      </c>
      <c r="B30" s="10" t="str">
        <f>'Diagrama de Gantt - Estructura '!B30</f>
        <v>Implementar modelo de estudiantes</v>
      </c>
      <c r="C30" s="10" t="str">
        <f>'Diagrama de Gantt - Estructura '!K30</f>
        <v>Modelo de estudiantes</v>
      </c>
      <c r="D30" s="13">
        <f>'Diagrama de Gantt - Estructura '!G30</f>
        <v>46294</v>
      </c>
      <c r="E30" s="10" t="str">
        <f>'Diagrama de Gantt - Estructura '!F30</f>
        <v>Saul</v>
      </c>
      <c r="F30" s="10" t="str">
        <f>'Diagrama de Gantt - Estructura '!I30</f>
        <v>En Proceso</v>
      </c>
      <c r="G30" s="10" t="str">
        <f>'Diagrama de Gantt - Estructura '!C30</f>
        <v>Tarea Nivel 3</v>
      </c>
    </row>
    <row r="31" ht="22.5" customHeight="1">
      <c r="A31" s="8">
        <f>'Diagrama de Gantt - Estructura '!A31</f>
        <v>3.7</v>
      </c>
      <c r="B31" s="10" t="str">
        <f>'Diagrama de Gantt - Estructura '!B31</f>
        <v>Implementar CRUD de estudiantes</v>
      </c>
      <c r="C31" s="10" t="str">
        <f>'Diagrama de Gantt - Estructura '!K31</f>
        <v>Gestión de estudiantes</v>
      </c>
      <c r="D31" s="13">
        <f>'Diagrama de Gantt - Estructura '!G31</f>
        <v>46295</v>
      </c>
      <c r="E31" s="10" t="str">
        <f>'Diagrama de Gantt - Estructura '!F31</f>
        <v>Tú</v>
      </c>
      <c r="F31" s="10" t="str">
        <f>'Diagrama de Gantt - Estructura '!I31</f>
        <v>En Proceso</v>
      </c>
      <c r="G31" s="10" t="str">
        <f>'Diagrama de Gantt - Estructura '!C31</f>
        <v>Tarea Nivel 3</v>
      </c>
    </row>
    <row r="32" ht="22.5" customHeight="1">
      <c r="A32" s="8">
        <f>'Diagrama de Gantt - Estructura '!A32</f>
        <v>3.8</v>
      </c>
      <c r="B32" s="10" t="str">
        <f>'Diagrama de Gantt - Estructura '!B32</f>
        <v>Implementar generación de QR</v>
      </c>
      <c r="C32" s="10" t="str">
        <f>'Diagrama de Gantt - Estructura '!K32</f>
        <v>Generador QR</v>
      </c>
      <c r="D32" s="20">
        <f>'Diagrama de Gantt - Estructura '!G32</f>
        <v>46296</v>
      </c>
      <c r="E32" s="10" t="str">
        <f>'Diagrama de Gantt - Estructura '!F32</f>
        <v>Saul</v>
      </c>
      <c r="F32" s="10" t="str">
        <f>'Diagrama de Gantt - Estructura '!I32</f>
        <v>En Proceso</v>
      </c>
      <c r="G32" s="10" t="str">
        <f>'Diagrama de Gantt - Estructura '!C32</f>
        <v>Tarea Nivel 3</v>
      </c>
    </row>
    <row r="33" ht="22.5" customHeight="1">
      <c r="A33" s="8">
        <f>'Diagrama de Gantt - Estructura '!A33</f>
        <v>3.9</v>
      </c>
      <c r="B33" s="10" t="str">
        <f>'Diagrama de Gantt - Estructura '!B33</f>
        <v>Asociar QR con estudiante</v>
      </c>
      <c r="C33" s="10" t="str">
        <f>'Diagrama de Gantt - Estructura '!K33</f>
        <v>Asociación QR</v>
      </c>
      <c r="D33" s="20">
        <f>'Diagrama de Gantt - Estructura '!G33</f>
        <v>46296</v>
      </c>
      <c r="E33" s="10" t="str">
        <f>'Diagrama de Gantt - Estructura '!F33</f>
        <v>Saul</v>
      </c>
      <c r="F33" s="10" t="str">
        <f>'Diagrama de Gantt - Estructura '!I33</f>
        <v>En Proceso</v>
      </c>
      <c r="G33" s="10" t="str">
        <f>'Diagrama de Gantt - Estructura '!C33</f>
        <v>Tarea Nivel 3</v>
      </c>
    </row>
    <row r="34" ht="22.5" customHeight="1">
      <c r="A34" s="8">
        <f>'Diagrama de Gantt - Estructura '!A34</f>
        <v>3.1</v>
      </c>
      <c r="B34" s="10" t="str">
        <f>'Diagrama de Gantt - Estructura '!B34</f>
        <v>Implementar validación de unicidad</v>
      </c>
      <c r="C34" s="10" t="str">
        <f>'Diagrama de Gantt - Estructura '!K34</f>
        <v>Validación de unicidad</v>
      </c>
      <c r="D34" s="20">
        <f>'Diagrama de Gantt - Estructura '!G34</f>
        <v>46297</v>
      </c>
      <c r="E34" s="10" t="str">
        <f>'Diagrama de Gantt - Estructura '!F34</f>
        <v>Saul</v>
      </c>
      <c r="F34" s="10" t="str">
        <f>'Diagrama de Gantt - Estructura '!I34</f>
        <v>En Proceso</v>
      </c>
      <c r="G34" s="10" t="str">
        <f>'Diagrama de Gantt - Estructura '!C34</f>
        <v>Tarea Nivel 3</v>
      </c>
    </row>
    <row r="35" ht="22.5" customHeight="1">
      <c r="A35" s="8">
        <f>'Diagrama de Gantt - Estructura '!A35</f>
        <v>3.11</v>
      </c>
      <c r="B35" s="10" t="str">
        <f>'Diagrama de Gantt - Estructura '!B35</f>
        <v>Implementar exportación de QR</v>
      </c>
      <c r="C35" s="10" t="str">
        <f>'Diagrama de Gantt - Estructura '!K35</f>
        <v>Archivos QR</v>
      </c>
      <c r="D35" s="20">
        <f>'Diagrama de Gantt - Estructura '!G35</f>
        <v>46297</v>
      </c>
      <c r="E35" s="10" t="str">
        <f>'Diagrama de Gantt - Estructura '!F35</f>
        <v>Tú</v>
      </c>
      <c r="F35" s="10" t="str">
        <f>'Diagrama de Gantt - Estructura '!I35</f>
        <v>En Proceso</v>
      </c>
      <c r="G35" s="10" t="str">
        <f>'Diagrama de Gantt - Estructura '!C35</f>
        <v>Tarea Nivel 3</v>
      </c>
    </row>
    <row r="36" ht="22.5" customHeight="1">
      <c r="A36" s="8">
        <f>'Diagrama de Gantt - Estructura '!A36</f>
        <v>3.12</v>
      </c>
      <c r="B36" s="10" t="str">
        <f>'Diagrama de Gantt - Estructura '!B36</f>
        <v>Pruebas de legibilidad</v>
      </c>
      <c r="C36" s="10" t="str">
        <f>'Diagrama de Gantt - Estructura '!K36</f>
        <v>Evidencias de lectura</v>
      </c>
      <c r="D36" s="20">
        <f>'Diagrama de Gantt - Estructura '!G36</f>
        <v>46300</v>
      </c>
      <c r="E36" s="10" t="str">
        <f>'Diagrama de Gantt - Estructura '!F36</f>
        <v>Tú</v>
      </c>
      <c r="F36" s="10" t="str">
        <f>'Diagrama de Gantt - Estructura '!I36</f>
        <v>En Proceso</v>
      </c>
      <c r="G36" s="10" t="str">
        <f>'Diagrama de Gantt - Estructura '!C36</f>
        <v>Tarea Nivel 3</v>
      </c>
    </row>
    <row r="37" ht="22.5" customHeight="1">
      <c r="A37" s="8">
        <f>'Diagrama de Gantt - Estructura '!A37</f>
        <v>3.13</v>
      </c>
      <c r="B37" s="10" t="str">
        <f>'Diagrama de Gantt - Estructura '!B37</f>
        <v>Pruebas de asociación y duplicados</v>
      </c>
      <c r="C37" s="10" t="str">
        <f>'Diagrama de Gantt - Estructura '!K37</f>
        <v>Evidencias de integridad</v>
      </c>
      <c r="D37" s="20">
        <f>'Diagrama de Gantt - Estructura '!G37</f>
        <v>46301</v>
      </c>
      <c r="E37" s="10" t="str">
        <f>'Diagrama de Gantt - Estructura '!F37</f>
        <v>Saul</v>
      </c>
      <c r="F37" s="10" t="str">
        <f>'Diagrama de Gantt - Estructura '!I37</f>
        <v>En Proceso</v>
      </c>
      <c r="G37" s="10" t="str">
        <f>'Diagrama de Gantt - Estructura '!C37</f>
        <v>Tarea Nivel 3</v>
      </c>
    </row>
    <row r="38" ht="22.5" customHeight="1">
      <c r="A38" s="8">
        <f>'Diagrama de Gantt - Estructura '!A38</f>
        <v>3.14</v>
      </c>
      <c r="B38" s="10" t="str">
        <f>'Diagrama de Gantt - Estructura '!B38</f>
        <v>Corrección de errores H01</v>
      </c>
      <c r="C38" s="10" t="str">
        <f>'Diagrama de Gantt - Estructura '!K38</f>
        <v>Versión corregida</v>
      </c>
      <c r="D38" s="20">
        <f>'Diagrama de Gantt - Estructura '!G38</f>
        <v>46303</v>
      </c>
      <c r="E38" s="10" t="str">
        <f>'Diagrama de Gantt - Estructura '!F38</f>
        <v>Ambos</v>
      </c>
      <c r="F38" s="10" t="str">
        <f>'Diagrama de Gantt - Estructura '!I38</f>
        <v>En Proceso</v>
      </c>
      <c r="G38" s="10" t="str">
        <f>'Diagrama de Gantt - Estructura '!C38</f>
        <v>Tarea Nivel 3</v>
      </c>
    </row>
    <row r="39" ht="22.5" customHeight="1">
      <c r="A39" s="8">
        <f>'Diagrama de Gantt - Estructura '!A39</f>
        <v>3.15</v>
      </c>
      <c r="B39" s="10" t="str">
        <f>'Diagrama de Gantt - Estructura '!B39</f>
        <v>Validación institucional QR</v>
      </c>
      <c r="C39" s="10" t="str">
        <f>'Diagrama de Gantt - Estructura '!K39</f>
        <v>Validación institucional</v>
      </c>
      <c r="D39" s="22">
        <f>'Diagrama de Gantt - Estructura '!G39</f>
        <v>46305</v>
      </c>
      <c r="E39" s="10" t="str">
        <f>'Diagrama de Gantt - Estructura '!F39</f>
        <v>Ambos</v>
      </c>
      <c r="F39" s="10" t="str">
        <f>'Diagrama de Gantt - Estructura '!I39</f>
        <v>En Proceso</v>
      </c>
      <c r="G39" s="10" t="str">
        <f>'Diagrama de Gantt - Estructura '!C39</f>
        <v>Tarea Nivel 3</v>
      </c>
    </row>
    <row r="40" ht="22.5" customHeight="1">
      <c r="A40" s="8">
        <f>'Diagrama de Gantt - Estructura '!A40</f>
        <v>3.16</v>
      </c>
      <c r="B40" s="10" t="str">
        <f>'Diagrama de Gantt - Estructura '!B40</f>
        <v>Preparar lote inicial de códigos</v>
      </c>
      <c r="C40" s="10" t="str">
        <f>'Diagrama de Gantt - Estructura '!K40</f>
        <v>Lote QR</v>
      </c>
      <c r="D40" s="25">
        <f>'Diagrama de Gantt - Estructura '!G40</f>
        <v>46308</v>
      </c>
      <c r="E40" s="10" t="str">
        <f>'Diagrama de Gantt - Estructura '!F40</f>
        <v>Tú</v>
      </c>
      <c r="F40" s="10" t="str">
        <f>'Diagrama de Gantt - Estructura '!I40</f>
        <v>En Proceso</v>
      </c>
      <c r="G40" s="10" t="str">
        <f>'Diagrama de Gantt - Estructura '!C40</f>
        <v>Tarea Nivel 3</v>
      </c>
    </row>
    <row r="41" ht="22.5" customHeight="1">
      <c r="A41" s="8">
        <f>'Diagrama de Gantt - Estructura '!A41</f>
        <v>3.17</v>
      </c>
      <c r="B41" s="10" t="str">
        <f>'Diagrama de Gantt - Estructura '!B41</f>
        <v>Verificación final de KPI-01 a KPI-06</v>
      </c>
      <c r="C41" s="10" t="str">
        <f>'Diagrama de Gantt - Estructura '!K41</f>
        <v>Evidencias H01</v>
      </c>
      <c r="D41" s="25">
        <f>'Diagrama de Gantt - Estructura '!G41</f>
        <v>46309</v>
      </c>
      <c r="E41" s="10" t="str">
        <f>'Diagrama de Gantt - Estructura '!F41</f>
        <v>Ambos</v>
      </c>
      <c r="F41" s="10" t="str">
        <f>'Diagrama de Gantt - Estructura '!I41</f>
        <v>En Proceso</v>
      </c>
      <c r="G41" s="10" t="str">
        <f>'Diagrama de Gantt - Estructura '!C41</f>
        <v>Tarea Nivel 3</v>
      </c>
    </row>
    <row r="42" ht="22.5" customHeight="1">
      <c r="A42" s="8" t="str">
        <f>'Diagrama de Gantt - Estructura '!A42</f>
        <v>H01</v>
      </c>
      <c r="B42" s="10" t="str">
        <f>'Diagrama de Gantt - Estructura '!B42</f>
        <v>HITO 01 — Base funcional y generación de QR</v>
      </c>
      <c r="C42" s="10" t="str">
        <f>'Diagrama de Gantt - Estructura '!K42</f>
        <v>KPI-01 a KPI-06 validados</v>
      </c>
      <c r="D42" s="25">
        <f>'Diagrama de Gantt - Estructura '!G42</f>
        <v>46310</v>
      </c>
      <c r="E42" s="10" t="str">
        <f>'Diagrama de Gantt - Estructura '!F42</f>
        <v>Ambos</v>
      </c>
      <c r="F42" s="10" t="str">
        <f>'Diagrama de Gantt - Estructura '!I42</f>
        <v>No completado</v>
      </c>
      <c r="G42" s="10" t="str">
        <f>'Diagrama de Gantt - Estructura '!C42</f>
        <v>Hito</v>
      </c>
    </row>
    <row r="43" ht="22.5" customHeight="1">
      <c r="A43" s="8" t="str">
        <f>'Diagrama de Gantt - Estructura '!A43</f>
        <v>4</v>
      </c>
      <c r="B43" s="10" t="str">
        <f>'Diagrama de Gantt - Estructura '!B43</f>
        <v>SERVIDOR LOCAL E INFRAESTRUCTURA INSTITUCIONAL</v>
      </c>
      <c r="C43" s="10" t="str">
        <f>'Diagrama de Gantt - Estructura '!K43</f>
        <v>Infraestructura local operativa</v>
      </c>
      <c r="D43" s="18">
        <f>'Diagrama de Gantt - Estructura '!G43</f>
        <v>46312</v>
      </c>
      <c r="E43" s="10" t="str">
        <f>'Diagrama de Gantt - Estructura '!F43</f>
        <v>Ambos</v>
      </c>
      <c r="F43" s="10" t="str">
        <f>'Diagrama de Gantt - Estructura '!I43</f>
        <v>No Iniciado</v>
      </c>
      <c r="G43" s="10" t="str">
        <f>'Diagrama de Gantt - Estructura '!C43</f>
        <v>Entregable Nivel 2</v>
      </c>
    </row>
    <row r="44" ht="22.5" customHeight="1">
      <c r="A44" s="8" t="str">
        <f>'Diagrama de Gantt - Estructura '!A44</f>
        <v>4.1</v>
      </c>
      <c r="B44" s="10" t="str">
        <f>'Diagrama de Gantt - Estructura '!B44</f>
        <v>Levantar especificaciones del equipo servidor</v>
      </c>
      <c r="C44" s="10" t="str">
        <f>'Diagrama de Gantt - Estructura '!K44</f>
        <v>Especificaciones documentadas</v>
      </c>
      <c r="D44" s="18">
        <f>'Diagrama de Gantt - Estructura '!G44</f>
        <v>46312</v>
      </c>
      <c r="E44" s="10" t="str">
        <f>'Diagrama de Gantt - Estructura '!F44</f>
        <v>Saul</v>
      </c>
      <c r="F44" s="10" t="str">
        <f>'Diagrama de Gantt - Estructura '!I44</f>
        <v>No Iniciado</v>
      </c>
      <c r="G44" s="10" t="str">
        <f>'Diagrama de Gantt - Estructura '!C44</f>
        <v>Tarea Nivel 3</v>
      </c>
    </row>
    <row r="45" ht="22.5" customHeight="1">
      <c r="A45" s="8" t="str">
        <f>'Diagrama de Gantt - Estructura '!A45</f>
        <v>4.2</v>
      </c>
      <c r="B45" s="10" t="str">
        <f>'Diagrama de Gantt - Estructura '!B45</f>
        <v>Verificar conectividad de red institucional</v>
      </c>
      <c r="C45" s="10" t="str">
        <f>'Diagrama de Gantt - Estructura '!K45</f>
        <v>Conectividad validada</v>
      </c>
      <c r="D45" s="18">
        <f>'Diagrama de Gantt - Estructura '!G45</f>
        <v>46315</v>
      </c>
      <c r="E45" s="10" t="str">
        <f>'Diagrama de Gantt - Estructura '!F45</f>
        <v>Ambos</v>
      </c>
      <c r="F45" s="10" t="str">
        <f>'Diagrama de Gantt - Estructura '!I45</f>
        <v>No Iniciado</v>
      </c>
      <c r="G45" s="10" t="str">
        <f>'Diagrama de Gantt - Estructura '!C45</f>
        <v>Tarea Nivel 3</v>
      </c>
    </row>
    <row r="46" ht="22.5" customHeight="1">
      <c r="A46" s="8" t="str">
        <f>'Diagrama de Gantt - Estructura '!A46</f>
        <v>4.3</v>
      </c>
      <c r="B46" s="10" t="str">
        <f>'Diagrama de Gantt - Estructura '!B46</f>
        <v>Definir arquitectura de despliegue local</v>
      </c>
      <c r="C46" s="10" t="str">
        <f>'Diagrama de Gantt - Estructura '!K46</f>
        <v>Arquitectura de despliegue</v>
      </c>
      <c r="D46" s="18">
        <f>'Diagrama de Gantt - Estructura '!G46</f>
        <v>46318</v>
      </c>
      <c r="E46" s="10" t="str">
        <f>'Diagrama de Gantt - Estructura '!F46</f>
        <v>Saul</v>
      </c>
      <c r="F46" s="10" t="str">
        <f>'Diagrama de Gantt - Estructura '!I46</f>
        <v>No Iniciado</v>
      </c>
      <c r="G46" s="10" t="str">
        <f>'Diagrama de Gantt - Estructura '!C46</f>
        <v>Tarea Nivel 3</v>
      </c>
    </row>
    <row r="47" ht="22.5" customHeight="1">
      <c r="A47" s="8" t="str">
        <f>'Diagrama de Gantt - Estructura '!A47</f>
        <v>4.4</v>
      </c>
      <c r="B47" s="10" t="str">
        <f>'Diagrama de Gantt - Estructura '!B47</f>
        <v>Preparar sistema operativo del servidor</v>
      </c>
      <c r="C47" s="10" t="str">
        <f>'Diagrama de Gantt - Estructura '!K47</f>
        <v>Entorno preparado</v>
      </c>
      <c r="D47" s="18">
        <f>'Diagrama de Gantt - Estructura '!G47</f>
        <v>46318</v>
      </c>
      <c r="E47" s="10" t="str">
        <f>'Diagrama de Gantt - Estructura '!F47</f>
        <v>Saul</v>
      </c>
      <c r="F47" s="10" t="str">
        <f>'Diagrama de Gantt - Estructura '!I47</f>
        <v>No Iniciado</v>
      </c>
      <c r="G47" s="10" t="str">
        <f>'Diagrama de Gantt - Estructura '!C47</f>
        <v>Tarea Nivel 3</v>
      </c>
    </row>
    <row r="48" ht="22.5" customHeight="1">
      <c r="A48" s="8" t="str">
        <f>'Diagrama de Gantt - Estructura '!A48</f>
        <v>4.5</v>
      </c>
      <c r="B48" s="10" t="str">
        <f>'Diagrama de Gantt - Estructura '!B48</f>
        <v>Configurar PostgreSQL en servidor local</v>
      </c>
      <c r="C48" s="10" t="str">
        <f>'Diagrama de Gantt - Estructura '!K48</f>
        <v>BD local operativa</v>
      </c>
      <c r="D48" s="18">
        <f>'Diagrama de Gantt - Estructura '!G48</f>
        <v>46322</v>
      </c>
      <c r="E48" s="10" t="str">
        <f>'Diagrama de Gantt - Estructura '!F48</f>
        <v>Saul</v>
      </c>
      <c r="F48" s="10" t="str">
        <f>'Diagrama de Gantt - Estructura '!I48</f>
        <v>No Iniciado</v>
      </c>
      <c r="G48" s="10" t="str">
        <f>'Diagrama de Gantt - Estructura '!C48</f>
        <v>Tarea Nivel 3</v>
      </c>
    </row>
    <row r="49" ht="22.5" customHeight="1">
      <c r="A49" s="8" t="str">
        <f>'Diagrama de Gantt - Estructura '!A49</f>
        <v>4.6</v>
      </c>
      <c r="B49" s="10" t="str">
        <f>'Diagrama de Gantt - Estructura '!B49</f>
        <v>Configurar backend/API en servidor</v>
      </c>
      <c r="C49" s="10" t="str">
        <f>'Diagrama de Gantt - Estructura '!K49</f>
        <v>Backend local operativo</v>
      </c>
      <c r="D49" s="18">
        <f>'Diagrama de Gantt - Estructura '!G49</f>
        <v>46322</v>
      </c>
      <c r="E49" s="10" t="str">
        <f>'Diagrama de Gantt - Estructura '!F49</f>
        <v>Saul</v>
      </c>
      <c r="F49" s="10" t="str">
        <f>'Diagrama de Gantt - Estructura '!I49</f>
        <v>No Iniciado</v>
      </c>
      <c r="G49" s="10" t="str">
        <f>'Diagrama de Gantt - Estructura '!C49</f>
        <v>Tarea Nivel 3</v>
      </c>
    </row>
    <row r="50" ht="22.5" customHeight="1">
      <c r="A50" s="8" t="str">
        <f>'Diagrama de Gantt - Estructura '!A50</f>
        <v>4.7</v>
      </c>
      <c r="B50" s="10" t="str">
        <f>'Diagrama de Gantt - Estructura '!B50</f>
        <v>Configurar frontend web para red local</v>
      </c>
      <c r="C50" s="10" t="str">
        <f>'Diagrama de Gantt - Estructura '!K50</f>
        <v>Web LAN operativa</v>
      </c>
      <c r="D50" s="18">
        <f>'Diagrama de Gantt - Estructura '!G50</f>
        <v>46325</v>
      </c>
      <c r="E50" s="10" t="str">
        <f>'Diagrama de Gantt - Estructura '!F50</f>
        <v>Tú</v>
      </c>
      <c r="F50" s="10" t="str">
        <f>'Diagrama de Gantt - Estructura '!I50</f>
        <v>No Iniciado</v>
      </c>
      <c r="G50" s="10" t="str">
        <f>'Diagrama de Gantt - Estructura '!C50</f>
        <v>Tarea Nivel 3</v>
      </c>
    </row>
    <row r="51" ht="22.5" customHeight="1">
      <c r="A51" s="8" t="str">
        <f>'Diagrama de Gantt - Estructura '!A51</f>
        <v>4.8</v>
      </c>
      <c r="B51" s="10" t="str">
        <f>'Diagrama de Gantt - Estructura '!B51</f>
        <v>Integrar aplicación móvil con servidor local</v>
      </c>
      <c r="C51" s="10" t="str">
        <f>'Diagrama de Gantt - Estructura '!K51</f>
        <v>App conectada a LAN</v>
      </c>
      <c r="D51" s="18">
        <f>'Diagrama de Gantt - Estructura '!G51</f>
        <v>46326</v>
      </c>
      <c r="E51" s="10" t="str">
        <f>'Diagrama de Gantt - Estructura '!F51</f>
        <v>Ambos</v>
      </c>
      <c r="F51" s="10" t="str">
        <f>'Diagrama de Gantt - Estructura '!I51</f>
        <v>No Iniciado</v>
      </c>
      <c r="G51" s="10" t="str">
        <f>'Diagrama de Gantt - Estructura '!C51</f>
        <v>Tarea Nivel 3</v>
      </c>
    </row>
    <row r="52" ht="22.5" customHeight="1">
      <c r="A52" s="8" t="str">
        <f>'Diagrama de Gantt - Estructura '!A52</f>
        <v>4.9</v>
      </c>
      <c r="B52" s="10" t="str">
        <f>'Diagrama de Gantt - Estructura '!B52</f>
        <v>Configurar control de acceso al servidor</v>
      </c>
      <c r="C52" s="10" t="str">
        <f>'Diagrama de Gantt - Estructura '!K52</f>
        <v>Acceso controlado</v>
      </c>
      <c r="D52" s="18">
        <f>'Diagrama de Gantt - Estructura '!G52</f>
        <v>46329</v>
      </c>
      <c r="E52" s="10" t="str">
        <f>'Diagrama de Gantt - Estructura '!F52</f>
        <v>Saul</v>
      </c>
      <c r="F52" s="10" t="str">
        <f>'Diagrama de Gantt - Estructura '!I52</f>
        <v>No Iniciado</v>
      </c>
      <c r="G52" s="10" t="str">
        <f>'Diagrama de Gantt - Estructura '!C52</f>
        <v>Tarea Nivel 3</v>
      </c>
    </row>
    <row r="53" ht="22.5" customHeight="1">
      <c r="A53" s="8" t="str">
        <f>'Diagrama de Gantt - Estructura '!A53</f>
        <v>4.10</v>
      </c>
      <c r="B53" s="10" t="str">
        <f>'Diagrama de Gantt - Estructura '!B53</f>
        <v>Configurar respaldos automáticos</v>
      </c>
      <c r="C53" s="10" t="str">
        <f>'Diagrama de Gantt - Estructura '!K53</f>
        <v>Sistema de respaldos</v>
      </c>
      <c r="D53" s="18">
        <f>'Diagrama de Gantt - Estructura '!G53</f>
        <v>46331</v>
      </c>
      <c r="E53" s="10" t="str">
        <f>'Diagrama de Gantt - Estructura '!F53</f>
        <v>Saul</v>
      </c>
      <c r="F53" s="10" t="str">
        <f>'Diagrama de Gantt - Estructura '!I53</f>
        <v>No Iniciado</v>
      </c>
      <c r="G53" s="10" t="str">
        <f>'Diagrama de Gantt - Estructura '!C53</f>
        <v>Tarea Nivel 3</v>
      </c>
    </row>
    <row r="54" ht="22.5" customHeight="1">
      <c r="A54" s="8" t="str">
        <f>'Diagrama de Gantt - Estructura '!A54</f>
        <v>4.11</v>
      </c>
      <c r="B54" s="10" t="str">
        <f>'Diagrama de Gantt - Estructura '!B54</f>
        <v>Probar recuperación de respaldos</v>
      </c>
      <c r="C54" s="10" t="str">
        <f>'Diagrama de Gantt - Estructura '!K54</f>
        <v>Recuperación validada</v>
      </c>
      <c r="D54" s="18">
        <f>'Diagrama de Gantt - Estructura '!G54</f>
        <v>46332</v>
      </c>
      <c r="E54" s="10" t="str">
        <f>'Diagrama de Gantt - Estructura '!F54</f>
        <v>Saul</v>
      </c>
      <c r="F54" s="10" t="str">
        <f>'Diagrama de Gantt - Estructura '!I54</f>
        <v>No Iniciado</v>
      </c>
      <c r="G54" s="10" t="str">
        <f>'Diagrama de Gantt - Estructura '!C54</f>
        <v>Tarea Nivel 3</v>
      </c>
    </row>
    <row r="55" ht="22.5" customHeight="1">
      <c r="A55" s="8" t="str">
        <f>'Diagrama de Gantt - Estructura '!A55</f>
        <v>4.12</v>
      </c>
      <c r="B55" s="10" t="str">
        <f>'Diagrama de Gantt - Estructura '!B55</f>
        <v>Probar operación sin Internet</v>
      </c>
      <c r="C55" s="10" t="str">
        <f>'Diagrama de Gantt - Estructura '!K55</f>
        <v>Operación LAN validada</v>
      </c>
      <c r="D55" s="18">
        <f>'Diagrama de Gantt - Estructura '!G55</f>
        <v>46333</v>
      </c>
      <c r="E55" s="10" t="str">
        <f>'Diagrama de Gantt - Estructura '!F55</f>
        <v>Ambos</v>
      </c>
      <c r="F55" s="10" t="str">
        <f>'Diagrama de Gantt - Estructura '!I55</f>
        <v>No Iniciado</v>
      </c>
      <c r="G55" s="10" t="str">
        <f>'Diagrama de Gantt - Estructura '!C55</f>
        <v>Tarea Nivel 3</v>
      </c>
    </row>
    <row r="56" ht="22.5" customHeight="1">
      <c r="A56" s="8" t="str">
        <f>'Diagrama de Gantt - Estructura '!A56</f>
        <v>4.13</v>
      </c>
      <c r="B56" s="10" t="str">
        <f>'Diagrama de Gantt - Estructura '!B56</f>
        <v>Documentar instalación y recuperación del servidor</v>
      </c>
      <c r="C56" s="10" t="str">
        <f>'Diagrama de Gantt - Estructura '!K56</f>
        <v>Documentación técnica</v>
      </c>
      <c r="D56" s="18">
        <f>'Diagrama de Gantt - Estructura '!G56</f>
        <v>46334</v>
      </c>
      <c r="E56" s="10" t="str">
        <f>'Diagrama de Gantt - Estructura '!F56</f>
        <v>Saul</v>
      </c>
      <c r="F56" s="10" t="str">
        <f>'Diagrama de Gantt - Estructura '!I56</f>
        <v>No Iniciado</v>
      </c>
      <c r="G56" s="10" t="str">
        <f>'Diagrama de Gantt - Estructura '!C56</f>
        <v>Tarea Nivel 3</v>
      </c>
    </row>
    <row r="57" ht="22.5" customHeight="1">
      <c r="A57" s="8" t="str">
        <f>'Diagrama de Gantt - Estructura '!A57</f>
        <v>4.14</v>
      </c>
      <c r="B57" s="10" t="str">
        <f>'Diagrama de Gantt - Estructura '!B57</f>
        <v>Verificación de KPI-29 a KPI-34</v>
      </c>
      <c r="C57" s="10" t="str">
        <f>'Diagrama de Gantt - Estructura '!K57</f>
        <v>Evidencias H05</v>
      </c>
      <c r="D57" s="18">
        <f>'Diagrama de Gantt - Estructura '!G57</f>
        <v>46431</v>
      </c>
      <c r="E57" s="10" t="str">
        <f>'Diagrama de Gantt - Estructura '!F57</f>
        <v>Ambos</v>
      </c>
      <c r="F57" s="10" t="str">
        <f>'Diagrama de Gantt - Estructura '!I57</f>
        <v>No Iniciado</v>
      </c>
      <c r="G57" s="10" t="str">
        <f>'Diagrama de Gantt - Estructura '!C57</f>
        <v>Tarea Nivel 3</v>
      </c>
    </row>
    <row r="58" ht="22.5" customHeight="1">
      <c r="A58" s="8" t="str">
        <f>'Diagrama de Gantt - Estructura '!A58</f>
        <v>H05</v>
      </c>
      <c r="B58" s="10" t="str">
        <f>'Diagrama de Gantt - Estructura '!B58</f>
        <v>HITO 05 — Servidor local e infraestructura institucional</v>
      </c>
      <c r="C58" s="10" t="str">
        <f>'Diagrama de Gantt - Estructura '!K58</f>
        <v>KPI-29 a KPI-34 validados</v>
      </c>
      <c r="D58" s="18">
        <f>'Diagrama de Gantt - Estructura '!G58</f>
        <v>46431</v>
      </c>
      <c r="E58" s="10" t="str">
        <f>'Diagrama de Gantt - Estructura '!F58</f>
        <v>Ambos</v>
      </c>
      <c r="F58" s="10" t="str">
        <f>'Diagrama de Gantt - Estructura '!I58</f>
        <v>No completado</v>
      </c>
      <c r="G58" s="10" t="str">
        <f>'Diagrama de Gantt - Estructura '!C58</f>
        <v>Hito</v>
      </c>
    </row>
    <row r="59" ht="22.5" customHeight="1">
      <c r="A59" s="8" t="str">
        <f>'Diagrama de Gantt - Estructura '!A59</f>
        <v>5</v>
      </c>
      <c r="B59" s="10" t="str">
        <f>'Diagrama de Gantt - Estructura '!B59</f>
        <v>SISTEMA WEB INTEGRADO</v>
      </c>
      <c r="C59" s="10" t="str">
        <f>'Diagrama de Gantt - Estructura '!K59</f>
        <v>Plataforma web integrada</v>
      </c>
      <c r="D59" s="18">
        <f>'Diagrama de Gantt - Estructura '!G59</f>
        <v>46406</v>
      </c>
      <c r="E59" s="10" t="str">
        <f>'Diagrama de Gantt - Estructura '!F59</f>
        <v>Ambos</v>
      </c>
      <c r="F59" s="10" t="str">
        <f>'Diagrama de Gantt - Estructura '!I59</f>
        <v>No Iniciado</v>
      </c>
      <c r="G59" s="10" t="str">
        <f>'Diagrama de Gantt - Estructura '!C59</f>
        <v>Entregable Nivel 2</v>
      </c>
    </row>
    <row r="60" ht="22.5" customHeight="1">
      <c r="A60" s="8" t="str">
        <f>'Diagrama de Gantt - Estructura '!A60</f>
        <v>5.1</v>
      </c>
      <c r="B60" s="10" t="str">
        <f>'Diagrama de Gantt - Estructura '!B60</f>
        <v>Diseñar autenticación</v>
      </c>
      <c r="C60" s="10" t="str">
        <f>'Diagrama de Gantt - Estructura '!K60</f>
        <v>Diseño de autenticación</v>
      </c>
      <c r="D60" s="18">
        <f>'Diagrama de Gantt - Estructura '!G60</f>
        <v>46406</v>
      </c>
      <c r="E60" s="10" t="str">
        <f>'Diagrama de Gantt - Estructura '!F60</f>
        <v>Saul</v>
      </c>
      <c r="F60" s="10" t="str">
        <f>'Diagrama de Gantt - Estructura '!I60</f>
        <v>No Iniciado</v>
      </c>
      <c r="G60" s="10" t="str">
        <f>'Diagrama de Gantt - Estructura '!C60</f>
        <v>Tarea Nivel 3</v>
      </c>
    </row>
    <row r="61" ht="22.5" customHeight="1">
      <c r="A61" s="8" t="str">
        <f>'Diagrama de Gantt - Estructura '!A61</f>
        <v>5.2</v>
      </c>
      <c r="B61" s="10" t="str">
        <f>'Diagrama de Gantt - Estructura '!B61</f>
        <v>Implementar autenticación</v>
      </c>
      <c r="C61" s="10" t="str">
        <f>'Diagrama de Gantt - Estructura '!K61</f>
        <v>Login funcional</v>
      </c>
      <c r="D61" s="18">
        <f>'Diagrama de Gantt - Estructura '!G61</f>
        <v>46408</v>
      </c>
      <c r="E61" s="10" t="str">
        <f>'Diagrama de Gantt - Estructura '!F61</f>
        <v>Saul</v>
      </c>
      <c r="F61" s="10" t="str">
        <f>'Diagrama de Gantt - Estructura '!I61</f>
        <v>No Iniciado</v>
      </c>
      <c r="G61" s="10" t="str">
        <f>'Diagrama de Gantt - Estructura '!C61</f>
        <v>Tarea Nivel 3</v>
      </c>
    </row>
    <row r="62" ht="22.5" customHeight="1">
      <c r="A62" s="8" t="str">
        <f>'Diagrama de Gantt - Estructura '!A62</f>
        <v>5.3</v>
      </c>
      <c r="B62" s="10" t="str">
        <f>'Diagrama de Gantt - Estructura '!B62</f>
        <v>Implementar roles y permisos</v>
      </c>
      <c r="C62" s="10" t="str">
        <f>'Diagrama de Gantt - Estructura '!K62</f>
        <v>Control de acceso</v>
      </c>
      <c r="D62" s="18">
        <f>'Diagrama de Gantt - Estructura '!G62</f>
        <v>46410</v>
      </c>
      <c r="E62" s="10" t="str">
        <f>'Diagrama de Gantt - Estructura '!F62</f>
        <v>Saul</v>
      </c>
      <c r="F62" s="10" t="str">
        <f>'Diagrama de Gantt - Estructura '!I62</f>
        <v>No Iniciado</v>
      </c>
      <c r="G62" s="10" t="str">
        <f>'Diagrama de Gantt - Estructura '!C62</f>
        <v>Tarea Nivel 3</v>
      </c>
    </row>
    <row r="63" ht="22.5" customHeight="1">
      <c r="A63" s="8" t="str">
        <f>'Diagrama de Gantt - Estructura '!A63</f>
        <v>5.4</v>
      </c>
      <c r="B63" s="10" t="str">
        <f>'Diagrama de Gantt - Estructura '!B63</f>
        <v>Diseñar modelo de familiares</v>
      </c>
      <c r="C63" s="10" t="str">
        <f>'Diagrama de Gantt - Estructura '!K63</f>
        <v>Modelo familiares</v>
      </c>
      <c r="D63" s="18">
        <f>'Diagrama de Gantt - Estructura '!G63</f>
        <v>46413</v>
      </c>
      <c r="E63" s="10" t="str">
        <f>'Diagrama de Gantt - Estructura '!F63</f>
        <v>Tú</v>
      </c>
      <c r="F63" s="10" t="str">
        <f>'Diagrama de Gantt - Estructura '!I63</f>
        <v>No Iniciado</v>
      </c>
      <c r="G63" s="10" t="str">
        <f>'Diagrama de Gantt - Estructura '!C63</f>
        <v>Tarea Nivel 3</v>
      </c>
    </row>
    <row r="64" ht="22.5" customHeight="1">
      <c r="A64" s="8" t="str">
        <f>'Diagrama de Gantt - Estructura '!A64</f>
        <v>5.5</v>
      </c>
      <c r="B64" s="10" t="str">
        <f>'Diagrama de Gantt - Estructura '!B64</f>
        <v>Implementar familiares</v>
      </c>
      <c r="C64" s="10" t="str">
        <f>'Diagrama de Gantt - Estructura '!K64</f>
        <v>Gestión familiares</v>
      </c>
      <c r="D64" s="18">
        <f>'Diagrama de Gantt - Estructura '!G64</f>
        <v>46415</v>
      </c>
      <c r="E64" s="10" t="str">
        <f>'Diagrama de Gantt - Estructura '!F64</f>
        <v>Saul</v>
      </c>
      <c r="F64" s="10" t="str">
        <f>'Diagrama de Gantt - Estructura '!I64</f>
        <v>No Iniciado</v>
      </c>
      <c r="G64" s="10" t="str">
        <f>'Diagrama de Gantt - Estructura '!C64</f>
        <v>Tarea Nivel 3</v>
      </c>
    </row>
    <row r="65" ht="22.5" customHeight="1">
      <c r="A65" s="8" t="str">
        <f>'Diagrama de Gantt - Estructura '!A65</f>
        <v>5.6</v>
      </c>
      <c r="B65" s="10" t="str">
        <f>'Diagrama de Gantt - Estructura '!B65</f>
        <v>Diseñar panel administrativo</v>
      </c>
      <c r="C65" s="10" t="str">
        <f>'Diagrama de Gantt - Estructura '!K65</f>
        <v>Diseño panel</v>
      </c>
      <c r="D65" s="18">
        <f>'Diagrama de Gantt - Estructura '!G65</f>
        <v>46417</v>
      </c>
      <c r="E65" s="10" t="str">
        <f>'Diagrama de Gantt - Estructura '!F65</f>
        <v>Tú</v>
      </c>
      <c r="F65" s="10" t="str">
        <f>'Diagrama de Gantt - Estructura '!I65</f>
        <v>No Iniciado</v>
      </c>
      <c r="G65" s="10" t="str">
        <f>'Diagrama de Gantt - Estructura '!C65</f>
        <v>Tarea Nivel 3</v>
      </c>
    </row>
    <row r="66" ht="22.5" customHeight="1">
      <c r="A66" s="8" t="str">
        <f>'Diagrama de Gantt - Estructura '!A66</f>
        <v>5.7</v>
      </c>
      <c r="B66" s="10" t="str">
        <f>'Diagrama de Gantt - Estructura '!B66</f>
        <v>Implementar panel administrativo</v>
      </c>
      <c r="C66" s="10" t="str">
        <f>'Diagrama de Gantt - Estructura '!K66</f>
        <v>Panel funcional</v>
      </c>
      <c r="D66" s="18">
        <f>'Diagrama de Gantt - Estructura '!G66</f>
        <v>46420</v>
      </c>
      <c r="E66" s="10" t="str">
        <f>'Diagrama de Gantt - Estructura '!F66</f>
        <v>Tú</v>
      </c>
      <c r="F66" s="10" t="str">
        <f>'Diagrama de Gantt - Estructura '!I66</f>
        <v>No Iniciado</v>
      </c>
      <c r="G66" s="10" t="str">
        <f>'Diagrama de Gantt - Estructura '!C66</f>
        <v>Tarea Nivel 3</v>
      </c>
    </row>
    <row r="67" ht="22.5" customHeight="1">
      <c r="A67" s="8" t="str">
        <f>'Diagrama de Gantt - Estructura '!A67</f>
        <v>5.8</v>
      </c>
      <c r="B67" s="10" t="str">
        <f>'Diagrama de Gantt - Estructura '!B67</f>
        <v>Integrar estudiantes, usuarios y familiares</v>
      </c>
      <c r="C67" s="10" t="str">
        <f>'Diagrama de Gantt - Estructura '!K67</f>
        <v>Sistema integrado</v>
      </c>
      <c r="D67" s="18">
        <f>'Diagrama de Gantt - Estructura '!G67</f>
        <v>46422</v>
      </c>
      <c r="E67" s="10" t="str">
        <f>'Diagrama de Gantt - Estructura '!F67</f>
        <v>Saul</v>
      </c>
      <c r="F67" s="10" t="str">
        <f>'Diagrama de Gantt - Estructura '!I67</f>
        <v>No Iniciado</v>
      </c>
      <c r="G67" s="10" t="str">
        <f>'Diagrama de Gantt - Estructura '!C67</f>
        <v>Tarea Nivel 3</v>
      </c>
    </row>
    <row r="68" ht="22.5" customHeight="1">
      <c r="A68" s="8" t="str">
        <f>'Diagrama de Gantt - Estructura '!A68</f>
        <v>5.9</v>
      </c>
      <c r="B68" s="10" t="str">
        <f>'Diagrama de Gantt - Estructura '!B68</f>
        <v>Pruebas de integración web</v>
      </c>
      <c r="C68" s="10" t="str">
        <f>'Diagrama de Gantt - Estructura '!K68</f>
        <v>Evidencias web</v>
      </c>
      <c r="D68" s="18">
        <f>'Diagrama de Gantt - Estructura '!G68</f>
        <v>46423</v>
      </c>
      <c r="E68" s="10" t="str">
        <f>'Diagrama de Gantt - Estructura '!F68</f>
        <v>Ambos</v>
      </c>
      <c r="F68" s="10" t="str">
        <f>'Diagrama de Gantt - Estructura '!I68</f>
        <v>No Iniciado</v>
      </c>
      <c r="G68" s="10" t="str">
        <f>'Diagrama de Gantt - Estructura '!C68</f>
        <v>Tarea Nivel 3</v>
      </c>
    </row>
    <row r="69" ht="22.5" customHeight="1">
      <c r="A69" s="8" t="str">
        <f>'Diagrama de Gantt - Estructura '!A69</f>
        <v>5.10</v>
      </c>
      <c r="B69" s="10" t="str">
        <f>'Diagrama de Gantt - Estructura '!B69</f>
        <v>Correcciones H02</v>
      </c>
      <c r="C69" s="10" t="str">
        <f>'Diagrama de Gantt - Estructura '!K69</f>
        <v>Versión corregida</v>
      </c>
      <c r="D69" s="18">
        <f>'Diagrama de Gantt - Estructura '!G69</f>
        <v>46425</v>
      </c>
      <c r="E69" s="10" t="str">
        <f>'Diagrama de Gantt - Estructura '!F69</f>
        <v>Ambos</v>
      </c>
      <c r="F69" s="10" t="str">
        <f>'Diagrama de Gantt - Estructura '!I69</f>
        <v>No completado</v>
      </c>
      <c r="G69" s="10" t="str">
        <f>'Diagrama de Gantt - Estructura '!C69</f>
        <v>Tarea Nivel 3</v>
      </c>
    </row>
    <row r="70" ht="22.5" customHeight="1">
      <c r="A70" s="8" t="str">
        <f>'Diagrama de Gantt - Estructura '!A70</f>
        <v>5.11</v>
      </c>
      <c r="B70" s="10" t="str">
        <f>'Diagrama de Gantt - Estructura '!B70</f>
        <v>Verificación de KPI-07 a KPI-11</v>
      </c>
      <c r="C70" s="10" t="str">
        <f>'Diagrama de Gantt - Estructura '!K70</f>
        <v>Evidencias H02</v>
      </c>
      <c r="D70" s="18">
        <f>'Diagrama de Gantt - Estructura '!G70</f>
        <v>46427</v>
      </c>
      <c r="E70" s="10" t="str">
        <f>'Diagrama de Gantt - Estructura '!F70</f>
        <v>Ambos</v>
      </c>
      <c r="F70" s="10" t="str">
        <f>'Diagrama de Gantt - Estructura '!I70</f>
        <v>No Iniciado</v>
      </c>
      <c r="G70" s="10" t="str">
        <f>'Diagrama de Gantt - Estructura '!C70</f>
        <v>Tarea Nivel 3</v>
      </c>
    </row>
    <row r="71" ht="22.5" customHeight="1">
      <c r="A71" s="8" t="str">
        <f>'Diagrama de Gantt - Estructura '!A71</f>
        <v>5.12</v>
      </c>
      <c r="B71" s="10" t="str">
        <f>'Diagrama de Gantt - Estructura '!B71</f>
        <v>Validación final del sistema web</v>
      </c>
      <c r="C71" s="10" t="str">
        <f>'Diagrama de Gantt - Estructura '!K71</f>
        <v>Web validada</v>
      </c>
      <c r="D71" s="18">
        <f>'Diagrama de Gantt - Estructura '!G71</f>
        <v>46429</v>
      </c>
      <c r="E71" s="10" t="str">
        <f>'Diagrama de Gantt - Estructura '!F71</f>
        <v>Ambos</v>
      </c>
      <c r="F71" s="10" t="str">
        <f>'Diagrama de Gantt - Estructura '!I71</f>
        <v>No Iniciado</v>
      </c>
      <c r="G71" s="10" t="str">
        <f>'Diagrama de Gantt - Estructura '!C71</f>
        <v>Tarea Nivel 3</v>
      </c>
    </row>
    <row r="72" ht="22.5" customHeight="1">
      <c r="A72" s="8" t="str">
        <f>'Diagrama de Gantt - Estructura '!A72</f>
        <v>H02</v>
      </c>
      <c r="B72" s="10" t="str">
        <f>'Diagrama de Gantt - Estructura '!B72</f>
        <v>HITO 02 — Sistema web integrado</v>
      </c>
      <c r="C72" s="10" t="str">
        <f>'Diagrama de Gantt - Estructura '!K72</f>
        <v>KPI-07 a KPI-11 validados</v>
      </c>
      <c r="D72" s="18">
        <f>'Diagrama de Gantt - Estructura '!G72</f>
        <v>46430</v>
      </c>
      <c r="E72" s="10" t="str">
        <f>'Diagrama de Gantt - Estructura '!F72</f>
        <v>Ambos</v>
      </c>
      <c r="F72" s="10" t="str">
        <f>'Diagrama de Gantt - Estructura '!I72</f>
        <v>No completado</v>
      </c>
      <c r="G72" s="10" t="str">
        <f>'Diagrama de Gantt - Estructura '!C72</f>
        <v>Hito</v>
      </c>
    </row>
    <row r="73" ht="22.5" customHeight="1">
      <c r="A73" s="8" t="str">
        <f>'Diagrama de Gantt - Estructura '!A73</f>
        <v>6</v>
      </c>
      <c r="B73" s="10" t="str">
        <f>'Diagrama de Gantt - Estructura '!B73</f>
        <v>BACKEND, API Y CONTROL DE ASISTENCIA</v>
      </c>
      <c r="C73" s="10" t="str">
        <f>'Diagrama de Gantt - Estructura '!K73</f>
        <v>Sistema de asistencia funcional</v>
      </c>
      <c r="D73" s="18">
        <f>'Diagrama de Gantt - Estructura '!G73</f>
        <v>46431</v>
      </c>
      <c r="E73" s="10" t="str">
        <f>'Diagrama de Gantt - Estructura '!F73</f>
        <v>Ambos</v>
      </c>
      <c r="F73" s="10" t="str">
        <f>'Diagrama de Gantt - Estructura '!I73</f>
        <v>No Iniciado</v>
      </c>
      <c r="G73" s="10" t="str">
        <f>'Diagrama de Gantt - Estructura '!C73</f>
        <v>Entregable Nivel 2</v>
      </c>
    </row>
    <row r="74" ht="22.5" customHeight="1">
      <c r="A74" s="8" t="str">
        <f>'Diagrama de Gantt - Estructura '!A74</f>
        <v>6.1</v>
      </c>
      <c r="B74" s="10" t="str">
        <f>'Diagrama de Gantt - Estructura '!B74</f>
        <v>Diseñar modelo de asistencia diaria por grupo</v>
      </c>
      <c r="C74" s="10" t="str">
        <f>'Diagrama de Gantt - Estructura '!K74</f>
        <v>Modelo de asistencia</v>
      </c>
      <c r="D74" s="18">
        <f>'Diagrama de Gantt - Estructura '!G74</f>
        <v>46431</v>
      </c>
      <c r="E74" s="10" t="str">
        <f>'Diagrama de Gantt - Estructura '!F74</f>
        <v>Saul</v>
      </c>
      <c r="F74" s="10" t="str">
        <f>'Diagrama de Gantt - Estructura '!I74</f>
        <v>No Iniciado</v>
      </c>
      <c r="G74" s="10" t="str">
        <f>'Diagrama de Gantt - Estructura '!C74</f>
        <v>Tarea Nivel 3</v>
      </c>
    </row>
    <row r="75" ht="22.5" customHeight="1">
      <c r="A75" s="8" t="str">
        <f>'Diagrama de Gantt - Estructura '!A75</f>
        <v>6.2</v>
      </c>
      <c r="B75" s="10" t="str">
        <f>'Diagrama de Gantt - Estructura '!B75</f>
        <v>Definir estados de asistencia</v>
      </c>
      <c r="C75" s="10" t="str">
        <f>'Diagrama de Gantt - Estructura '!K75</f>
        <v>Reglas de estados</v>
      </c>
      <c r="D75" s="22">
        <f>'Diagrama de Gantt - Estructura '!G75</f>
        <v>46336</v>
      </c>
      <c r="E75" s="10" t="str">
        <f>'Diagrama de Gantt - Estructura '!F75</f>
        <v>Saul</v>
      </c>
      <c r="F75" s="10" t="str">
        <f>'Diagrama de Gantt - Estructura '!I75</f>
        <v>No Iniciado</v>
      </c>
      <c r="G75" s="10" t="str">
        <f>'Diagrama de Gantt - Estructura '!C75</f>
        <v>Tarea Nivel 3</v>
      </c>
    </row>
    <row r="76" ht="22.5" customHeight="1">
      <c r="A76" s="8" t="str">
        <f>'Diagrama de Gantt - Estructura '!A76</f>
        <v>6.3</v>
      </c>
      <c r="B76" s="10" t="str">
        <f>'Diagrama de Gantt - Estructura '!B76</f>
        <v>Implementar modelo de asistencia</v>
      </c>
      <c r="C76" s="10" t="str">
        <f>'Diagrama de Gantt - Estructura '!K76</f>
        <v>Tablas/modelos</v>
      </c>
      <c r="D76" s="25">
        <f>'Diagrama de Gantt - Estructura '!G76</f>
        <v>46340</v>
      </c>
      <c r="E76" s="10" t="str">
        <f>'Diagrama de Gantt - Estructura '!F76</f>
        <v>Saul</v>
      </c>
      <c r="F76" s="10" t="str">
        <f>'Diagrama de Gantt - Estructura '!I76</f>
        <v>No Iniciado</v>
      </c>
      <c r="G76" s="10" t="str">
        <f>'Diagrama de Gantt - Estructura '!C76</f>
        <v>Tarea Nivel 3</v>
      </c>
    </row>
    <row r="77" ht="22.5" customHeight="1">
      <c r="A77" s="8" t="str">
        <f>'Diagrama de Gantt - Estructura '!A77</f>
        <v>6.4</v>
      </c>
      <c r="B77" s="10" t="str">
        <f>'Diagrama de Gantt - Estructura '!B77</f>
        <v>Implementar registro de asistencia mediante QR</v>
      </c>
      <c r="C77" s="10" t="str">
        <f>'Diagrama de Gantt - Estructura '!K77</f>
        <v>Registro de asistencia</v>
      </c>
      <c r="D77" s="25">
        <f>'Diagrama de Gantt - Estructura '!G77</f>
        <v>46344</v>
      </c>
      <c r="E77" s="10" t="str">
        <f>'Diagrama de Gantt - Estructura '!F77</f>
        <v>Saul</v>
      </c>
      <c r="F77" s="10" t="str">
        <f>'Diagrama de Gantt - Estructura '!I77</f>
        <v>No Iniciado</v>
      </c>
      <c r="G77" s="10" t="str">
        <f>'Diagrama de Gantt - Estructura '!C77</f>
        <v>Tarea Nivel 3</v>
      </c>
    </row>
    <row r="78" ht="22.5" customHeight="1">
      <c r="A78" s="8" t="str">
        <f>'Diagrama de Gantt - Estructura '!A78</f>
        <v>6.5</v>
      </c>
      <c r="B78" s="10" t="str">
        <f>'Diagrama de Gantt - Estructura '!B78</f>
        <v>Implementar identificación automática de estudiante y grupo</v>
      </c>
      <c r="C78" s="10" t="str">
        <f>'Diagrama de Gantt - Estructura '!K78</f>
        <v>Asociación estudiante-grupo</v>
      </c>
      <c r="D78" s="25">
        <f>'Diagrama de Gantt - Estructura '!G78</f>
        <v>46344</v>
      </c>
      <c r="E78" s="10" t="str">
        <f>'Diagrama de Gantt - Estructura '!F78</f>
        <v>Saul</v>
      </c>
      <c r="F78" s="10" t="str">
        <f>'Diagrama de Gantt - Estructura '!I78</f>
        <v>No Iniciado</v>
      </c>
      <c r="G78" s="10" t="str">
        <f>'Diagrama de Gantt - Estructura '!C78</f>
        <v>Tarea Nivel 3</v>
      </c>
    </row>
    <row r="79" ht="22.5" customHeight="1">
      <c r="A79" s="8" t="str">
        <f>'Diagrama de Gantt - Estructura '!A79</f>
        <v>6.6</v>
      </c>
      <c r="B79" s="10" t="str">
        <f>'Diagrama de Gantt - Estructura '!B79</f>
        <v>Implementar reglas de duplicados</v>
      </c>
      <c r="C79" s="10" t="str">
        <f>'Diagrama de Gantt - Estructura '!K79</f>
        <v>Control de duplicados</v>
      </c>
      <c r="D79" s="25">
        <f>'Diagrama de Gantt - Estructura '!G79</f>
        <v>46346</v>
      </c>
      <c r="E79" s="10" t="str">
        <f>'Diagrama de Gantt - Estructura '!F79</f>
        <v>Tú</v>
      </c>
      <c r="F79" s="10" t="str">
        <f>'Diagrama de Gantt - Estructura '!I79</f>
        <v>No Iniciado</v>
      </c>
      <c r="G79" s="10" t="str">
        <f>'Diagrama de Gantt - Estructura '!C79</f>
        <v>Tarea Nivel 3</v>
      </c>
    </row>
    <row r="80" ht="22.5" customHeight="1">
      <c r="A80" s="8" t="str">
        <f>'Diagrama de Gantt - Estructura '!A80</f>
        <v>6.7</v>
      </c>
      <c r="B80" s="10" t="str">
        <f>'Diagrama de Gantt - Estructura '!B80</f>
        <v>Implementar estados asistió, falta y llegada tarde</v>
      </c>
      <c r="C80" s="10" t="str">
        <f>'Diagrama de Gantt - Estructura '!K80</f>
        <v>Estados de asistencia</v>
      </c>
      <c r="D80" s="18">
        <f>'Diagrama de Gantt - Estructura '!G80</f>
        <v>46347</v>
      </c>
      <c r="E80" s="10" t="str">
        <f>'Diagrama de Gantt - Estructura '!F80</f>
        <v>Ambos</v>
      </c>
      <c r="F80" s="10" t="str">
        <f>'Diagrama de Gantt - Estructura '!I80</f>
        <v>No Iniciado</v>
      </c>
      <c r="G80" s="10" t="str">
        <f>'Diagrama de Gantt - Estructura '!C80</f>
        <v>Tarea Nivel 3</v>
      </c>
    </row>
    <row r="81" ht="22.5" customHeight="1">
      <c r="A81" s="8" t="str">
        <f>'Diagrama de Gantt - Estructura '!A81</f>
        <v>6.8</v>
      </c>
      <c r="B81" s="10" t="str">
        <f>'Diagrama de Gantt - Estructura '!B81</f>
        <v>Implementar registro diario por grupo</v>
      </c>
      <c r="C81" s="10" t="str">
        <f>'Diagrama de Gantt - Estructura '!K81</f>
        <v>Registro diario</v>
      </c>
      <c r="D81" s="18">
        <f>'Diagrama de Gantt - Estructura '!G81</f>
        <v>46350</v>
      </c>
      <c r="E81" s="10" t="str">
        <f>'Diagrama de Gantt - Estructura '!F81</f>
        <v>Saul</v>
      </c>
      <c r="F81" s="10" t="str">
        <f>'Diagrama de Gantt - Estructura '!I81</f>
        <v>No Iniciado</v>
      </c>
      <c r="G81" s="10" t="str">
        <f>'Diagrama de Gantt - Estructura '!C81</f>
        <v>Tarea Nivel 3</v>
      </c>
    </row>
    <row r="82" ht="22.5" customHeight="1">
      <c r="A82" s="8" t="str">
        <f>'Diagrama de Gantt - Estructura '!A82</f>
        <v>6.9</v>
      </c>
      <c r="B82" s="10" t="str">
        <f>'Diagrama de Gantt - Estructura '!B82</f>
        <v>Implementar consulta de asistencia por grupo y fecha</v>
      </c>
      <c r="C82" s="10" t="str">
        <f>'Diagrama de Gantt - Estructura '!K82</f>
        <v>Consulta grupal</v>
      </c>
      <c r="D82" s="18">
        <f>'Diagrama de Gantt - Estructura '!G82</f>
        <v>46351</v>
      </c>
      <c r="E82" s="10" t="str">
        <f>'Diagrama de Gantt - Estructura '!F82</f>
        <v>Ambos</v>
      </c>
      <c r="F82" s="10" t="str">
        <f>'Diagrama de Gantt - Estructura '!I82</f>
        <v>No Iniciado</v>
      </c>
      <c r="G82" s="10" t="str">
        <f>'Diagrama de Gantt - Estructura '!C82</f>
        <v>Tarea Nivel 3</v>
      </c>
    </row>
    <row r="83" ht="22.5" customHeight="1">
      <c r="A83" s="8" t="str">
        <f>'Diagrama de Gantt - Estructura '!A83</f>
        <v>6.10</v>
      </c>
      <c r="B83" s="10" t="str">
        <f>'Diagrama de Gantt - Estructura '!B83</f>
        <v>Implementar consulta histórica individual</v>
      </c>
      <c r="C83" s="10" t="str">
        <f>'Diagrama de Gantt - Estructura '!K83</f>
        <v>Historial estudiante</v>
      </c>
      <c r="D83" s="18">
        <f>'Diagrama de Gantt - Estructura '!G83</f>
        <v>46353</v>
      </c>
      <c r="E83" s="10" t="str">
        <f>'Diagrama de Gantt - Estructura '!F83</f>
        <v>Tú</v>
      </c>
      <c r="F83" s="10" t="str">
        <f>'Diagrama de Gantt - Estructura '!I83</f>
        <v>No Iniciado</v>
      </c>
      <c r="G83" s="10" t="str">
        <f>'Diagrama de Gantt - Estructura '!C83</f>
        <v>Tarea Nivel 3</v>
      </c>
    </row>
    <row r="84" ht="22.5" customHeight="1">
      <c r="A84" s="8" t="str">
        <f>'Diagrama de Gantt - Estructura '!A84</f>
        <v>6.11</v>
      </c>
      <c r="B84" s="10" t="str">
        <f>'Diagrama de Gantt - Estructura '!B84</f>
        <v>Integrar registro de asistencia con API</v>
      </c>
      <c r="C84" s="10" t="str">
        <f>'Diagrama de Gantt - Estructura '!K84</f>
        <v>API asistencia</v>
      </c>
      <c r="D84" s="18">
        <f>'Diagrama de Gantt - Estructura '!G84</f>
        <v>46354</v>
      </c>
      <c r="E84" s="10" t="str">
        <f>'Diagrama de Gantt - Estructura '!F84</f>
        <v>Saul</v>
      </c>
      <c r="F84" s="10" t="str">
        <f>'Diagrama de Gantt - Estructura '!I84</f>
        <v>No Iniciado</v>
      </c>
      <c r="G84" s="10" t="str">
        <f>'Diagrama de Gantt - Estructura '!C84</f>
        <v>Tarea Nivel 3</v>
      </c>
    </row>
    <row r="85" ht="22.5" customHeight="1">
      <c r="A85" s="8" t="str">
        <f>'Diagrama de Gantt - Estructura '!A85</f>
        <v>6.12</v>
      </c>
      <c r="B85" s="10" t="str">
        <f>'Diagrama de Gantt - Estructura '!B85</f>
        <v>Pruebas funcionales de asistencia</v>
      </c>
      <c r="C85" s="10" t="str">
        <f>'Diagrama de Gantt - Estructura '!K85</f>
        <v>Evidencias</v>
      </c>
      <c r="D85" s="20">
        <f>'Diagrama de Gantt - Estructura '!G85</f>
        <v>46357</v>
      </c>
      <c r="E85" s="10" t="str">
        <f>'Diagrama de Gantt - Estructura '!F85</f>
        <v>Ambos</v>
      </c>
      <c r="F85" s="10" t="str">
        <f>'Diagrama de Gantt - Estructura '!I85</f>
        <v>No Iniciado</v>
      </c>
      <c r="G85" s="10" t="str">
        <f>'Diagrama de Gantt - Estructura '!C85</f>
        <v>Tarea Nivel 3</v>
      </c>
    </row>
    <row r="86" ht="22.5" customHeight="1">
      <c r="A86" s="8" t="str">
        <f>'Diagrama de Gantt - Estructura '!A86</f>
        <v>6.13</v>
      </c>
      <c r="B86" s="10" t="str">
        <f>'Diagrama de Gantt - Estructura '!B86</f>
        <v>Pruebas de lectura y rendimiento</v>
      </c>
      <c r="C86" s="10" t="str">
        <f>'Diagrama de Gantt - Estructura '!K86</f>
        <v>Resultados lectura</v>
      </c>
      <c r="D86" s="20">
        <f>'Diagrama de Gantt - Estructura '!G86</f>
        <v>46358</v>
      </c>
      <c r="E86" s="10" t="str">
        <f>'Diagrama de Gantt - Estructura '!F86</f>
        <v>Saul</v>
      </c>
      <c r="F86" s="10" t="str">
        <f>'Diagrama de Gantt - Estructura '!I86</f>
        <v>No Iniciado</v>
      </c>
      <c r="G86" s="10" t="str">
        <f>'Diagrama de Gantt - Estructura '!C86</f>
        <v>Tarea Nivel 3</v>
      </c>
    </row>
    <row r="87" ht="22.5" customHeight="1">
      <c r="A87" s="8" t="str">
        <f>'Diagrama de Gantt - Estructura '!A87</f>
        <v>6.14</v>
      </c>
      <c r="B87" s="10" t="str">
        <f>'Diagrama de Gantt - Estructura '!B87</f>
        <v>Correcciones del módulo de asistencia</v>
      </c>
      <c r="C87" s="10" t="str">
        <f>'Diagrama de Gantt - Estructura '!K87</f>
        <v>Versión corregida</v>
      </c>
      <c r="D87" s="20">
        <f>'Diagrama de Gantt - Estructura '!G87</f>
        <v>46359</v>
      </c>
      <c r="E87" s="10" t="str">
        <f>'Diagrama de Gantt - Estructura '!F87</f>
        <v>Ambos</v>
      </c>
      <c r="F87" s="10" t="str">
        <f>'Diagrama de Gantt - Estructura '!I87</f>
        <v>No Iniciado</v>
      </c>
      <c r="G87" s="10" t="str">
        <f>'Diagrama de Gantt - Estructura '!C87</f>
        <v>Tarea Nivel 3</v>
      </c>
    </row>
    <row r="88" ht="22.5" customHeight="1">
      <c r="A88" s="8" t="str">
        <f>'Diagrama de Gantt - Estructura '!A88</f>
        <v>6.15</v>
      </c>
      <c r="B88" s="10" t="str">
        <f>'Diagrama de Gantt - Estructura '!B88</f>
        <v>Validación de asistencia con institución</v>
      </c>
      <c r="C88" s="10" t="str">
        <f>'Diagrama de Gantt - Estructura '!K88</f>
        <v>Validación institucional</v>
      </c>
      <c r="D88" s="20">
        <f>'Diagrama de Gantt - Estructura '!G88</f>
        <v>46360</v>
      </c>
      <c r="E88" s="10" t="str">
        <f>'Diagrama de Gantt - Estructura '!F88</f>
        <v>Ambos</v>
      </c>
      <c r="F88" s="10" t="str">
        <f>'Diagrama de Gantt - Estructura '!I88</f>
        <v>No Iniciado</v>
      </c>
      <c r="G88" s="10" t="str">
        <f>'Diagrama de Gantt - Estructura '!C88</f>
        <v>Tarea Nivel 3</v>
      </c>
    </row>
    <row r="89" ht="22.5" customHeight="1">
      <c r="A89" s="8" t="str">
        <f>'Diagrama de Gantt - Estructura '!A89</f>
        <v>6.16</v>
      </c>
      <c r="B89" s="10" t="str">
        <f>'Diagrama de Gantt - Estructura '!B89</f>
        <v>Verificación de KPI-12 a KPI-18</v>
      </c>
      <c r="C89" s="10" t="str">
        <f>'Diagrama de Gantt - Estructura '!K89</f>
        <v>Evidencias H03</v>
      </c>
      <c r="D89" s="20">
        <f>'Diagrama de Gantt - Estructura '!G89</f>
        <v>46361</v>
      </c>
      <c r="E89" s="10" t="str">
        <f>'Diagrama de Gantt - Estructura '!F89</f>
        <v>Ambos</v>
      </c>
      <c r="F89" s="10" t="str">
        <f>'Diagrama de Gantt - Estructura '!I89</f>
        <v>No Iniciado</v>
      </c>
      <c r="G89" s="10" t="str">
        <f>'Diagrama de Gantt - Estructura '!C89</f>
        <v>Tarea Nivel 3</v>
      </c>
    </row>
    <row r="90" ht="22.5" customHeight="1">
      <c r="A90" s="8" t="str">
        <f>'Diagrama de Gantt - Estructura '!A90</f>
        <v>H03</v>
      </c>
      <c r="B90" s="10" t="str">
        <f>'Diagrama de Gantt - Estructura '!B90</f>
        <v>HITO 03 — Backend, API y control de asistencia</v>
      </c>
      <c r="C90" s="10" t="str">
        <f>'Diagrama de Gantt - Estructura '!K90</f>
        <v>KPI-12 a KPI-18 validados</v>
      </c>
      <c r="D90" s="20">
        <f>'Diagrama de Gantt - Estructura '!G90</f>
        <v>46362</v>
      </c>
      <c r="E90" s="10" t="str">
        <f>'Diagrama de Gantt - Estructura '!F90</f>
        <v>Ambos</v>
      </c>
      <c r="F90" s="10" t="str">
        <f>'Diagrama de Gantt - Estructura '!I90</f>
        <v>No completado</v>
      </c>
      <c r="G90" s="10" t="str">
        <f>'Diagrama de Gantt - Estructura '!C90</f>
        <v>Hito</v>
      </c>
    </row>
    <row r="91" ht="22.5" customHeight="1">
      <c r="A91" s="8" t="str">
        <f>'Diagrama de Gantt - Estructura '!A91</f>
        <v>7</v>
      </c>
      <c r="B91" s="10" t="str">
        <f>'Diagrama de Gantt - Estructura '!B91</f>
        <v>APLICACIÓN MÓVIL</v>
      </c>
      <c r="C91" s="10" t="str">
        <f>'Diagrama de Gantt - Estructura '!K91</f>
        <v>Aplicación móvil integrada con SIGE</v>
      </c>
      <c r="D91" s="18">
        <f>'Diagrama de Gantt - Estructura '!G91</f>
        <v>46364</v>
      </c>
      <c r="E91" s="10" t="str">
        <f>'Diagrama de Gantt - Estructura '!F91</f>
        <v>Ambos</v>
      </c>
      <c r="F91" s="10" t="str">
        <f>'Diagrama de Gantt - Estructura '!I91</f>
        <v>No Iniciado</v>
      </c>
      <c r="G91" s="10" t="str">
        <f>'Diagrama de Gantt - Estructura '!C91</f>
        <v>Entregable Nivel 2</v>
      </c>
    </row>
    <row r="92" ht="22.5" customHeight="1">
      <c r="A92" s="8" t="str">
        <f>'Diagrama de Gantt - Estructura '!A92</f>
        <v>7.1</v>
      </c>
      <c r="B92" s="10" t="str">
        <f>'Diagrama de Gantt - Estructura '!B92</f>
        <v>Definir arquitectura de la aplicación móvil</v>
      </c>
      <c r="C92" s="10" t="str">
        <f>'Diagrama de Gantt - Estructura '!K92</f>
        <v>Arquitectura móvil</v>
      </c>
      <c r="D92" s="20">
        <f>'Diagrama de Gantt - Estructura '!G92</f>
        <v>46364</v>
      </c>
      <c r="E92" s="10" t="str">
        <f>'Diagrama de Gantt - Estructura '!F92</f>
        <v>Tú</v>
      </c>
      <c r="F92" s="10" t="str">
        <f>'Diagrama de Gantt - Estructura '!I92</f>
        <v>No Iniciado</v>
      </c>
      <c r="G92" s="10" t="str">
        <f>'Diagrama de Gantt - Estructura '!C92</f>
        <v>Tarea Nivel 3</v>
      </c>
    </row>
    <row r="93" ht="22.5" customHeight="1">
      <c r="A93" s="8" t="str">
        <f>'Diagrama de Gantt - Estructura '!A93</f>
        <v>7.2</v>
      </c>
      <c r="B93" s="10" t="str">
        <f>'Diagrama de Gantt - Estructura '!B93</f>
        <v>Definir navegación y estructura de pantallas</v>
      </c>
      <c r="C93" s="10" t="str">
        <f>'Diagrama de Gantt - Estructura '!K93</f>
        <v>Flujo UX móvil</v>
      </c>
      <c r="D93" s="22">
        <f>'Diagrama de Gantt - Estructura '!G93</f>
        <v>46367</v>
      </c>
      <c r="E93" s="10" t="str">
        <f>'Diagrama de Gantt - Estructura '!F93</f>
        <v>Saul</v>
      </c>
      <c r="F93" s="10" t="str">
        <f>'Diagrama de Gantt - Estructura '!I93</f>
        <v>No Iniciado</v>
      </c>
      <c r="G93" s="10" t="str">
        <f>'Diagrama de Gantt - Estructura '!C93</f>
        <v>Tarea Nivel 3</v>
      </c>
    </row>
    <row r="94" ht="22.5" customHeight="1">
      <c r="A94" s="8" t="str">
        <f>'Diagrama de Gantt - Estructura '!A94</f>
        <v>7.3</v>
      </c>
      <c r="B94" s="10" t="str">
        <f>'Diagrama de Gantt - Estructura '!B94</f>
        <v>Configurar proyecto móvil</v>
      </c>
      <c r="C94" s="10" t="str">
        <f>'Diagrama de Gantt - Estructura '!K94</f>
        <v>Proyecto móvil base</v>
      </c>
      <c r="D94" s="18">
        <f>'Diagrama de Gantt - Estructura '!G94</f>
        <v>46371</v>
      </c>
      <c r="E94" s="10" t="str">
        <f>'Diagrama de Gantt - Estructura '!F94</f>
        <v>Tú</v>
      </c>
      <c r="F94" s="10" t="str">
        <f>'Diagrama de Gantt - Estructura '!I94</f>
        <v>No Iniciado</v>
      </c>
      <c r="G94" s="10" t="str">
        <f>'Diagrama de Gantt - Estructura '!C94</f>
        <v>Tarea Nivel 3</v>
      </c>
    </row>
    <row r="95" ht="22.5" customHeight="1">
      <c r="A95" s="8" t="str">
        <f>'Diagrama de Gantt - Estructura '!A95</f>
        <v>7.4</v>
      </c>
      <c r="B95" s="10" t="str">
        <f>'Diagrama de Gantt - Estructura '!B95</f>
        <v>Integrar autenticación</v>
      </c>
      <c r="C95" s="10" t="str">
        <f>'Diagrama de Gantt - Estructura '!K95</f>
        <v>Autenticación móvil</v>
      </c>
      <c r="D95" s="18">
        <f>'Diagrama de Gantt - Estructura '!G95</f>
        <v>46373</v>
      </c>
      <c r="E95" s="10" t="str">
        <f>'Diagrama de Gantt - Estructura '!F95</f>
        <v>Ambos</v>
      </c>
      <c r="F95" s="10" t="str">
        <f>'Diagrama de Gantt - Estructura '!I95</f>
        <v>No Iniciado</v>
      </c>
      <c r="G95" s="10" t="str">
        <f>'Diagrama de Gantt - Estructura '!C95</f>
        <v>Tarea Nivel 3</v>
      </c>
    </row>
    <row r="96" ht="22.5" customHeight="1">
      <c r="A96" s="8" t="str">
        <f>'Diagrama de Gantt - Estructura '!A96</f>
        <v>7.5</v>
      </c>
      <c r="B96" s="10" t="str">
        <f>'Diagrama de Gantt - Estructura '!B96</f>
        <v>Integrar comunicación con API</v>
      </c>
      <c r="C96" s="10" t="str">
        <f>'Diagrama de Gantt - Estructura '!K96</f>
        <v>Cliente API</v>
      </c>
      <c r="D96" s="18">
        <f>'Diagrama de Gantt - Estructura '!G96</f>
        <v>46375</v>
      </c>
      <c r="E96" s="10" t="str">
        <f>'Diagrama de Gantt - Estructura '!F96</f>
        <v>Ambos</v>
      </c>
      <c r="F96" s="10" t="str">
        <f>'Diagrama de Gantt - Estructura '!I96</f>
        <v>No Iniciado</v>
      </c>
      <c r="G96" s="10" t="str">
        <f>'Diagrama de Gantt - Estructura '!C96</f>
        <v>Tarea Nivel 3</v>
      </c>
    </row>
    <row r="97" ht="22.5" customHeight="1">
      <c r="A97" s="8" t="str">
        <f>'Diagrama de Gantt - Estructura '!A97</f>
        <v>7.6</v>
      </c>
      <c r="B97" s="10" t="str">
        <f>'Diagrama de Gantt - Estructura '!B97</f>
        <v>Implementar permisos por rol</v>
      </c>
      <c r="C97" s="10" t="str">
        <f>'Diagrama de Gantt - Estructura '!K97</f>
        <v>Control de acceso móvil</v>
      </c>
      <c r="D97" s="18">
        <f>'Diagrama de Gantt - Estructura '!G97</f>
        <v>46378</v>
      </c>
      <c r="E97" s="10" t="str">
        <f>'Diagrama de Gantt - Estructura '!F97</f>
        <v>Saul</v>
      </c>
      <c r="F97" s="10" t="str">
        <f>'Diagrama de Gantt - Estructura '!I97</f>
        <v>No Iniciado</v>
      </c>
      <c r="G97" s="10" t="str">
        <f>'Diagrama de Gantt - Estructura '!C97</f>
        <v>Tarea Nivel 3</v>
      </c>
    </row>
    <row r="98" ht="22.5" customHeight="1">
      <c r="A98" s="8" t="str">
        <f>'Diagrama de Gantt - Estructura '!A98</f>
        <v>7.7</v>
      </c>
      <c r="B98" s="10" t="str">
        <f>'Diagrama de Gantt - Estructura '!B98</f>
        <v>Implementar lector QR móvil</v>
      </c>
      <c r="C98" s="10" t="str">
        <f>'Diagrama de Gantt - Estructura '!K98</f>
        <v>Escáner QR</v>
      </c>
      <c r="D98" s="18">
        <f>'Diagrama de Gantt - Estructura '!G98</f>
        <v>46381</v>
      </c>
      <c r="E98" s="10" t="str">
        <f>'Diagrama de Gantt - Estructura '!F98</f>
        <v>Tú</v>
      </c>
      <c r="F98" s="10" t="str">
        <f>'Diagrama de Gantt - Estructura '!I98</f>
        <v>No Iniciado</v>
      </c>
      <c r="G98" s="10" t="str">
        <f>'Diagrama de Gantt - Estructura '!C98</f>
        <v>Tarea Nivel 3</v>
      </c>
    </row>
    <row r="99" ht="22.5" customHeight="1">
      <c r="A99" s="8" t="str">
        <f>'Diagrama de Gantt - Estructura '!A99</f>
        <v>7.8</v>
      </c>
      <c r="B99" s="10" t="str">
        <f>'Diagrama de Gantt - Estructura '!B99</f>
        <v>Implementar registro de asistencia mediante QR</v>
      </c>
      <c r="C99" s="10" t="str">
        <f>'Diagrama de Gantt - Estructura '!K99</f>
        <v>Asistencia móvil</v>
      </c>
      <c r="D99" s="18">
        <f>'Diagrama de Gantt - Estructura '!G99</f>
        <v>46386</v>
      </c>
      <c r="E99" s="10" t="str">
        <f>'Diagrama de Gantt - Estructura '!F99</f>
        <v>Ambos</v>
      </c>
      <c r="F99" s="10" t="str">
        <f>'Diagrama de Gantt - Estructura '!I99</f>
        <v>No Iniciado</v>
      </c>
      <c r="G99" s="10" t="str">
        <f>'Diagrama de Gantt - Estructura '!C99</f>
        <v>Tarea Nivel 3</v>
      </c>
    </row>
    <row r="100" ht="22.5" customHeight="1">
      <c r="A100" s="8" t="str">
        <f>'Diagrama de Gantt - Estructura '!A100</f>
        <v>7.9</v>
      </c>
      <c r="B100" s="10" t="str">
        <f>'Diagrama de Gantt - Estructura '!B100</f>
        <v>Implementar confirmación del registro</v>
      </c>
      <c r="C100" s="10" t="str">
        <f>'Diagrama de Gantt - Estructura '!K100</f>
        <v>Confirmación asistencia</v>
      </c>
      <c r="D100" s="18">
        <f>'Diagrama de Gantt - Estructura '!G100</f>
        <v>46387</v>
      </c>
      <c r="E100" s="10" t="str">
        <f>'Diagrama de Gantt - Estructura '!F100</f>
        <v>Ambos</v>
      </c>
      <c r="F100" s="10" t="str">
        <f>'Diagrama de Gantt - Estructura '!I100</f>
        <v>No Iniciado</v>
      </c>
      <c r="G100" s="10" t="str">
        <f>'Diagrama de Gantt - Estructura '!C100</f>
        <v>Tarea Nivel 3</v>
      </c>
    </row>
    <row r="101" ht="22.5" customHeight="1">
      <c r="A101" s="8" t="str">
        <f>'Diagrama de Gantt - Estructura '!A101</f>
        <v>7.10</v>
      </c>
      <c r="B101" s="10" t="str">
        <f>'Diagrama de Gantt - Estructura '!B101</f>
        <v>Pruebas de integración QR-API-DB</v>
      </c>
      <c r="C101" s="10" t="str">
        <f>'Diagrama de Gantt - Estructura '!K101</f>
        <v>Integración validada</v>
      </c>
      <c r="D101" s="20">
        <f>'Diagrama de Gantt - Estructura '!G101</f>
        <v>46390</v>
      </c>
      <c r="E101" s="10" t="str">
        <f>'Diagrama de Gantt - Estructura '!F101</f>
        <v>Ambos</v>
      </c>
      <c r="F101" s="10" t="str">
        <f>'Diagrama de Gantt - Estructura '!I101</f>
        <v>No Iniciado</v>
      </c>
      <c r="G101" s="10" t="str">
        <f>'Diagrama de Gantt - Estructura '!C101</f>
        <v>Tarea Nivel 3</v>
      </c>
    </row>
    <row r="102" ht="22.5" customHeight="1">
      <c r="A102" s="8" t="str">
        <f>'Diagrama de Gantt - Estructura '!A102</f>
        <v>7.11</v>
      </c>
      <c r="B102" s="10" t="str">
        <f>'Diagrama de Gantt - Estructura '!B102</f>
        <v>Corrección del flujo de asistencia móvil</v>
      </c>
      <c r="C102" s="10" t="str">
        <f>'Diagrama de Gantt - Estructura '!K102</f>
        <v>Versión móvil v1</v>
      </c>
      <c r="D102" s="20">
        <f>'Diagrama de Gantt - Estructura '!G102</f>
        <v>46392</v>
      </c>
      <c r="E102" s="10" t="str">
        <f>'Diagrama de Gantt - Estructura '!F102</f>
        <v>Ambos</v>
      </c>
      <c r="F102" s="10" t="str">
        <f>'Diagrama de Gantt - Estructura '!I102</f>
        <v>No Iniciado</v>
      </c>
      <c r="G102" s="10" t="str">
        <f>'Diagrama de Gantt - Estructura '!C102</f>
        <v>Tarea Nivel 3</v>
      </c>
    </row>
    <row r="103" ht="22.5" customHeight="1">
      <c r="A103" s="8" t="str">
        <f>'Diagrama de Gantt - Estructura '!A103</f>
        <v>7.12</v>
      </c>
      <c r="B103" s="10" t="str">
        <f>'Diagrama de Gantt - Estructura '!B103</f>
        <v>Diseñar módulo móvil de reportes</v>
      </c>
      <c r="C103" s="10" t="str">
        <f>'Diagrama de Gantt - Estructura '!K103</f>
        <v>Diseño reportes móvil</v>
      </c>
      <c r="D103" s="20">
        <f>'Diagrama de Gantt - Estructura '!G103</f>
        <v>46394</v>
      </c>
      <c r="E103" s="10" t="str">
        <f>'Diagrama de Gantt - Estructura '!F103</f>
        <v>Tú</v>
      </c>
      <c r="F103" s="10" t="str">
        <f>'Diagrama de Gantt - Estructura '!I103</f>
        <v>No Iniciado</v>
      </c>
      <c r="G103" s="10" t="str">
        <f>'Diagrama de Gantt - Estructura '!C103</f>
        <v>Tarea Nivel 3</v>
      </c>
    </row>
    <row r="104" ht="22.5" customHeight="1">
      <c r="A104" s="8" t="str">
        <f>'Diagrama de Gantt - Estructura '!A104</f>
        <v>7.13</v>
      </c>
      <c r="B104" s="10" t="str">
        <f>'Diagrama de Gantt - Estructura '!B104</f>
        <v>Implementar registro de reportes docente</v>
      </c>
      <c r="C104" s="10" t="str">
        <f>'Diagrama de Gantt - Estructura '!K104</f>
        <v>Reportes desde móvil</v>
      </c>
      <c r="D104" s="20">
        <f>'Diagrama de Gantt - Estructura '!G104</f>
        <v>46396</v>
      </c>
      <c r="E104" s="10" t="str">
        <f>'Diagrama de Gantt - Estructura '!F104</f>
        <v>Tú</v>
      </c>
      <c r="F104" s="10" t="str">
        <f>'Diagrama de Gantt - Estructura '!I104</f>
        <v>No Iniciado</v>
      </c>
      <c r="G104" s="10" t="str">
        <f>'Diagrama de Gantt - Estructura '!C104</f>
        <v>Tarea Nivel 3</v>
      </c>
    </row>
    <row r="105" ht="22.5" customHeight="1">
      <c r="A105" s="8" t="str">
        <f>'Diagrama de Gantt - Estructura '!A105</f>
        <v>7.14</v>
      </c>
      <c r="B105" s="10" t="str">
        <f>'Diagrama de Gantt - Estructura '!B105</f>
        <v>Implementar consulta de reportes para prefectos</v>
      </c>
      <c r="C105" s="10" t="str">
        <f>'Diagrama de Gantt - Estructura '!K105</f>
        <v>Bandeja prefectura</v>
      </c>
      <c r="D105" s="20">
        <f>'Diagrama de Gantt - Estructura '!G105</f>
        <v>46399</v>
      </c>
      <c r="E105" s="10" t="str">
        <f>'Diagrama de Gantt - Estructura '!F105</f>
        <v>Saul</v>
      </c>
      <c r="F105" s="10" t="str">
        <f>'Diagrama de Gantt - Estructura '!I105</f>
        <v>No Iniciado</v>
      </c>
      <c r="G105" s="10" t="str">
        <f>'Diagrama de Gantt - Estructura '!C105</f>
        <v>Tarea Nivel 3</v>
      </c>
    </row>
    <row r="106" ht="22.5" customHeight="1">
      <c r="A106" s="8" t="str">
        <f>'Diagrama de Gantt - Estructura '!A106</f>
        <v>7.15</v>
      </c>
      <c r="B106" s="10" t="str">
        <f>'Diagrama de Gantt - Estructura '!B106</f>
        <v>Implementar filtros de reportes</v>
      </c>
      <c r="C106" s="10" t="str">
        <f>'Diagrama de Gantt - Estructura '!K106</f>
        <v>Filtros móviles</v>
      </c>
      <c r="D106" s="20">
        <f>'Diagrama de Gantt - Estructura '!G106</f>
        <v>46399</v>
      </c>
      <c r="E106" s="10" t="str">
        <f>'Diagrama de Gantt - Estructura '!F106</f>
        <v>Tú</v>
      </c>
      <c r="F106" s="10" t="str">
        <f>'Diagrama de Gantt - Estructura '!I106</f>
        <v>No Iniciado</v>
      </c>
      <c r="G106" s="10" t="str">
        <f>'Diagrama de Gantt - Estructura '!C106</f>
        <v>Tarea Nivel 3</v>
      </c>
    </row>
    <row r="107" ht="22.5" customHeight="1">
      <c r="A107" s="8" t="str">
        <f>'Diagrama de Gantt - Estructura '!A107</f>
        <v>7.16</v>
      </c>
      <c r="B107" s="10" t="str">
        <f>'Diagrama de Gantt - Estructura '!B107</f>
        <v>Implementar canalización hacia administración</v>
      </c>
      <c r="C107" s="10" t="str">
        <f>'Diagrama de Gantt - Estructura '!K107</f>
        <v>Flujo prefecto-administración</v>
      </c>
      <c r="D107" s="18">
        <f>'Diagrama de Gantt - Estructura '!G107</f>
        <v>46400</v>
      </c>
      <c r="E107" s="10" t="str">
        <f>'Diagrama de Gantt - Estructura '!F107</f>
        <v>Saul</v>
      </c>
      <c r="F107" s="10" t="str">
        <f>'Diagrama de Gantt - Estructura '!I107</f>
        <v>No Iniciado</v>
      </c>
      <c r="G107" s="10" t="str">
        <f>'Diagrama de Gantt - Estructura '!C107</f>
        <v>Tarea Nivel 3</v>
      </c>
    </row>
    <row r="108" ht="22.5" customHeight="1">
      <c r="A108" s="8" t="str">
        <f>'Diagrama de Gantt - Estructura '!A108</f>
        <v>7.17</v>
      </c>
      <c r="B108" s="10" t="str">
        <f>'Diagrama de Gantt - Estructura '!B108</f>
        <v>Integrar trazabilidad de reportes</v>
      </c>
      <c r="C108" s="10" t="str">
        <f>'Diagrama de Gantt - Estructura '!K108</f>
        <v>Historial del reporte</v>
      </c>
      <c r="D108" s="18">
        <f>'Diagrama de Gantt - Estructura '!G108</f>
        <v>46400</v>
      </c>
      <c r="E108" s="10" t="str">
        <f>'Diagrama de Gantt - Estructura '!F108</f>
        <v>Saul</v>
      </c>
      <c r="F108" s="10" t="str">
        <f>'Diagrama de Gantt - Estructura '!I108</f>
        <v>No Iniciado</v>
      </c>
      <c r="G108" s="10" t="str">
        <f>'Diagrama de Gantt - Estructura '!C108</f>
        <v>Tarea Nivel 3</v>
      </c>
    </row>
    <row r="109" ht="22.5" customHeight="1">
      <c r="A109" s="8" t="str">
        <f>'Diagrama de Gantt - Estructura '!A109</f>
        <v>7.18</v>
      </c>
      <c r="B109" s="10" t="str">
        <f>'Diagrama de Gantt - Estructura '!B109</f>
        <v>Pruebas funcionales de aplicación móvil</v>
      </c>
      <c r="C109" s="10" t="str">
        <f>'Diagrama de Gantt - Estructura '!K109</f>
        <v>Evidencias móviles</v>
      </c>
      <c r="D109" s="18">
        <f>'Diagrama de Gantt - Estructura '!G109</f>
        <v>46401</v>
      </c>
      <c r="E109" s="10" t="str">
        <f>'Diagrama de Gantt - Estructura '!F109</f>
        <v>Saul</v>
      </c>
      <c r="F109" s="10" t="str">
        <f>'Diagrama de Gantt - Estructura '!I109</f>
        <v>No Iniciado</v>
      </c>
      <c r="G109" s="10" t="str">
        <f>'Diagrama de Gantt - Estructura '!C109</f>
        <v>Tarea Nivel 3</v>
      </c>
    </row>
    <row r="110" ht="22.5" customHeight="1">
      <c r="A110" s="8" t="str">
        <f>'Diagrama de Gantt - Estructura '!A110</f>
        <v>7.19</v>
      </c>
      <c r="B110" s="10" t="str">
        <f>'Diagrama de Gantt - Estructura '!B110</f>
        <v>Pruebas en dispositivos representativos</v>
      </c>
      <c r="C110" s="10" t="str">
        <f>'Diagrama de Gantt - Estructura '!K110</f>
        <v>Compatibilidad móvil</v>
      </c>
      <c r="D110" s="18">
        <f>'Diagrama de Gantt - Estructura '!G110</f>
        <v>46401</v>
      </c>
      <c r="E110" s="10" t="str">
        <f>'Diagrama de Gantt - Estructura '!F110</f>
        <v>Ambos</v>
      </c>
      <c r="F110" s="10" t="str">
        <f>'Diagrama de Gantt - Estructura '!I110</f>
        <v>No Iniciado</v>
      </c>
      <c r="G110" s="10" t="str">
        <f>'Diagrama de Gantt - Estructura '!C110</f>
        <v>Tarea Nivel 3</v>
      </c>
    </row>
    <row r="111" ht="22.5" customHeight="1">
      <c r="A111" s="8" t="str">
        <f>'Diagrama de Gantt - Estructura '!A111</f>
        <v>7.20</v>
      </c>
      <c r="B111" s="10" t="str">
        <f>'Diagrama de Gantt - Estructura '!B111</f>
        <v>Correcciones de aplicación móvil</v>
      </c>
      <c r="C111" s="10" t="str">
        <f>'Diagrama de Gantt - Estructura '!K111</f>
        <v>Versión candidata</v>
      </c>
      <c r="D111" s="18">
        <f>'Diagrama de Gantt - Estructura '!G111</f>
        <v>46402</v>
      </c>
      <c r="E111" s="10" t="str">
        <f>'Diagrama de Gantt - Estructura '!F111</f>
        <v>Saul</v>
      </c>
      <c r="F111" s="10" t="str">
        <f>'Diagrama de Gantt - Estructura '!I111</f>
        <v>No Iniciado</v>
      </c>
      <c r="G111" s="10" t="str">
        <f>'Diagrama de Gantt - Estructura '!C111</f>
        <v>Tarea Nivel 3</v>
      </c>
    </row>
    <row r="112" ht="22.5" customHeight="1">
      <c r="A112" s="8" t="str">
        <f>'Diagrama de Gantt - Estructura '!A112</f>
        <v>H04</v>
      </c>
      <c r="B112" s="10" t="str">
        <f>'Diagrama de Gantt - Estructura '!B112</f>
        <v>HITO 04 — Aplicación móvil operativa</v>
      </c>
      <c r="C112" s="10" t="str">
        <f>'Diagrama de Gantt - Estructura '!K112</f>
        <v>KPI-19 a KPI-28 validados</v>
      </c>
      <c r="D112" s="18">
        <f>'Diagrama de Gantt - Estructura '!G112</f>
        <v>46402</v>
      </c>
      <c r="E112" s="10" t="str">
        <f>'Diagrama de Gantt - Estructura '!F112</f>
        <v>Ambos</v>
      </c>
      <c r="F112" s="10" t="str">
        <f>'Diagrama de Gantt - Estructura '!I112</f>
        <v>No completado</v>
      </c>
      <c r="G112" s="10" t="str">
        <f>'Diagrama de Gantt - Estructura '!C112</f>
        <v>Hito</v>
      </c>
    </row>
    <row r="113" ht="22.5" customHeight="1">
      <c r="A113" s="8">
        <f>'Diagrama de Gantt - Estructura '!A113</f>
        <v>8</v>
      </c>
      <c r="B113" s="10" t="str">
        <f>'Diagrama de Gantt - Estructura '!B113</f>
        <v>INTEGRACIÓN Y OPERACIÓN PILOTO</v>
      </c>
      <c r="C113" s="10" t="str">
        <f>'Diagrama de Gantt - Estructura '!K113</f>
        <v>Operación piloto integrada</v>
      </c>
      <c r="D113" s="18">
        <f>'Diagrama de Gantt - Estructura '!G113</f>
        <v>46435</v>
      </c>
      <c r="E113" s="10" t="str">
        <f>'Diagrama de Gantt - Estructura '!F113</f>
        <v>Ambos</v>
      </c>
      <c r="F113" s="10" t="str">
        <f>'Diagrama de Gantt - Estructura '!I113</f>
        <v>No Iniciado</v>
      </c>
      <c r="G113" s="10" t="str">
        <f>'Diagrama de Gantt - Estructura '!C113</f>
        <v>Entregable Nivel 2</v>
      </c>
    </row>
    <row r="114" ht="22.5" customHeight="1">
      <c r="A114" s="8">
        <f>'Diagrama de Gantt - Estructura '!A114</f>
        <v>8.1</v>
      </c>
      <c r="B114" s="10" t="str">
        <f>'Diagrama de Gantt - Estructura '!B114</f>
        <v>Diseñar plan de pruebas con usuarios</v>
      </c>
      <c r="C114" s="10" t="str">
        <f>'Diagrama de Gantt - Estructura '!K114</f>
        <v>Plan piloto</v>
      </c>
      <c r="D114" s="18">
        <f>'Diagrama de Gantt - Estructura '!G114</f>
        <v>46435</v>
      </c>
      <c r="E114" s="10" t="str">
        <f>'Diagrama de Gantt - Estructura '!F114</f>
        <v>Tú</v>
      </c>
      <c r="F114" s="10" t="str">
        <f>'Diagrama de Gantt - Estructura '!I114</f>
        <v>No Iniciado</v>
      </c>
      <c r="G114" s="10" t="str">
        <f>'Diagrama de Gantt - Estructura '!C114</f>
        <v>Tarea Nivel 3</v>
      </c>
    </row>
    <row r="115" ht="22.5" customHeight="1">
      <c r="A115" s="8">
        <f>'Diagrama de Gantt - Estructura '!A115</f>
        <v>8.2</v>
      </c>
      <c r="B115" s="10" t="str">
        <f>'Diagrama de Gantt - Estructura '!B115</f>
        <v>Preparar datos y escenarios de prueba</v>
      </c>
      <c r="C115" s="10" t="str">
        <f>'Diagrama de Gantt - Estructura '!K115</f>
        <v>Datos de prueba</v>
      </c>
      <c r="D115" s="18">
        <f>'Diagrama de Gantt - Estructura '!G115</f>
        <v>46437</v>
      </c>
      <c r="E115" s="10" t="str">
        <f>'Diagrama de Gantt - Estructura '!F115</f>
        <v>Saul</v>
      </c>
      <c r="F115" s="10" t="str">
        <f>'Diagrama de Gantt - Estructura '!I115</f>
        <v>No Iniciado</v>
      </c>
      <c r="G115" s="10" t="str">
        <f>'Diagrama de Gantt - Estructura '!C115</f>
        <v>Tarea Nivel 3</v>
      </c>
    </row>
    <row r="116" ht="22.5" customHeight="1">
      <c r="A116" s="8">
        <f>'Diagrama de Gantt - Estructura '!A116</f>
        <v>8.3</v>
      </c>
      <c r="B116" s="10" t="str">
        <f>'Diagrama de Gantt - Estructura '!B116</f>
        <v>Preparar instrumentos de usabilidad</v>
      </c>
      <c r="C116" s="10" t="str">
        <f>'Diagrama de Gantt - Estructura '!K116</f>
        <v>Instrumentos</v>
      </c>
      <c r="D116" s="18">
        <f>'Diagrama de Gantt - Estructura '!G116</f>
        <v>46438</v>
      </c>
      <c r="E116" s="10" t="str">
        <f>'Diagrama de Gantt - Estructura '!F116</f>
        <v>Tú</v>
      </c>
      <c r="F116" s="10" t="str">
        <f>'Diagrama de Gantt - Estructura '!I116</f>
        <v>No Iniciado</v>
      </c>
      <c r="G116" s="10" t="str">
        <f>'Diagrama de Gantt - Estructura '!C116</f>
        <v>Tarea Nivel 3</v>
      </c>
    </row>
    <row r="117" ht="22.5" customHeight="1">
      <c r="A117" s="8">
        <f>'Diagrama de Gantt - Estructura '!A117</f>
        <v>8.4</v>
      </c>
      <c r="B117" s="10" t="str">
        <f>'Diagrama de Gantt - Estructura '!B117</f>
        <v>Ejecutar pruebas con estudiantes</v>
      </c>
      <c r="C117" s="10" t="str">
        <f>'Diagrama de Gantt - Estructura '!K117</f>
        <v>Resultados estudiantes</v>
      </c>
      <c r="D117" s="18">
        <f>'Diagrama de Gantt - Estructura '!G117</f>
        <v>46441</v>
      </c>
      <c r="E117" s="10" t="str">
        <f>'Diagrama de Gantt - Estructura '!F117</f>
        <v>Ambos</v>
      </c>
      <c r="F117" s="10" t="str">
        <f>'Diagrama de Gantt - Estructura '!I117</f>
        <v>No Iniciado</v>
      </c>
      <c r="G117" s="10" t="str">
        <f>'Diagrama de Gantt - Estructura '!C117</f>
        <v>Tarea Nivel 3</v>
      </c>
    </row>
    <row r="118" ht="22.5" customHeight="1">
      <c r="A118" s="8">
        <f>'Diagrama de Gantt - Estructura '!A118</f>
        <v>8.5</v>
      </c>
      <c r="B118" s="10" t="str">
        <f>'Diagrama de Gantt - Estructura '!B118</f>
        <v>Ejecutar pruebas con personal escolar</v>
      </c>
      <c r="C118" s="10" t="str">
        <f>'Diagrama de Gantt - Estructura '!K118</f>
        <v>Resultados personal</v>
      </c>
      <c r="D118" s="18">
        <f>'Diagrama de Gantt - Estructura '!G118</f>
        <v>46443</v>
      </c>
      <c r="E118" s="10" t="str">
        <f>'Diagrama de Gantt - Estructura '!F118</f>
        <v>Ambos</v>
      </c>
      <c r="F118" s="10" t="str">
        <f>'Diagrama de Gantt - Estructura '!I118</f>
        <v>No Iniciado</v>
      </c>
      <c r="G118" s="10" t="str">
        <f>'Diagrama de Gantt - Estructura '!C118</f>
        <v>Tarea Nivel 3</v>
      </c>
    </row>
    <row r="119" ht="22.5" customHeight="1">
      <c r="A119" s="8">
        <f>'Diagrama de Gantt - Estructura '!A119</f>
        <v>8.6</v>
      </c>
      <c r="B119" s="10" t="str">
        <f>'Diagrama de Gantt - Estructura '!B119</f>
        <v>Simular jornadas de asistencia</v>
      </c>
      <c r="C119" s="10" t="str">
        <f>'Diagrama de Gantt - Estructura '!K119</f>
        <v>Evidencia piloto</v>
      </c>
      <c r="D119" s="18">
        <f>'Diagrama de Gantt - Estructura '!G119</f>
        <v>46445</v>
      </c>
      <c r="E119" s="10" t="str">
        <f>'Diagrama de Gantt - Estructura '!F119</f>
        <v>Saul</v>
      </c>
      <c r="F119" s="10" t="str">
        <f>'Diagrama de Gantt - Estructura '!I119</f>
        <v>No Iniciado</v>
      </c>
      <c r="G119" s="10" t="str">
        <f>'Diagrama de Gantt - Estructura '!C119</f>
        <v>Tarea Nivel 3</v>
      </c>
    </row>
    <row r="120" ht="22.5" customHeight="1">
      <c r="A120" s="8">
        <f>'Diagrama de Gantt - Estructura '!A120</f>
        <v>8.7</v>
      </c>
      <c r="B120" s="10" t="str">
        <f>'Diagrama de Gantt - Estructura '!B120</f>
        <v>Analizar resultados y retroalimentación</v>
      </c>
      <c r="C120" s="10" t="str">
        <f>'Diagrama de Gantt - Estructura '!K120</f>
        <v>Informe de resultados</v>
      </c>
      <c r="D120" s="20">
        <f>'Diagrama de Gantt - Estructura '!G120</f>
        <v>46448</v>
      </c>
      <c r="E120" s="10" t="str">
        <f>'Diagrama de Gantt - Estructura '!F120</f>
        <v>Tú</v>
      </c>
      <c r="F120" s="10" t="str">
        <f>'Diagrama de Gantt - Estructura '!I120</f>
        <v>No Iniciado</v>
      </c>
      <c r="G120" s="10" t="str">
        <f>'Diagrama de Gantt - Estructura '!C120</f>
        <v>Tarea Nivel 3</v>
      </c>
    </row>
    <row r="121" ht="22.5" customHeight="1">
      <c r="A121" s="8">
        <f>'Diagrama de Gantt - Estructura '!A121</f>
        <v>8.8</v>
      </c>
      <c r="B121" s="10" t="str">
        <f>'Diagrama de Gantt - Estructura '!B121</f>
        <v>Corregir problemas detectados</v>
      </c>
      <c r="C121" s="10" t="str">
        <f>'Diagrama de Gantt - Estructura '!K121</f>
        <v>Versión corregida</v>
      </c>
      <c r="D121" s="20">
        <f>'Diagrama de Gantt - Estructura '!G121</f>
        <v>46450</v>
      </c>
      <c r="E121" s="10" t="str">
        <f>'Diagrama de Gantt - Estructura '!F121</f>
        <v>Ambos</v>
      </c>
      <c r="F121" s="10" t="str">
        <f>'Diagrama de Gantt - Estructura '!I121</f>
        <v>No Iniciado</v>
      </c>
      <c r="G121" s="10" t="str">
        <f>'Diagrama de Gantt - Estructura '!C121</f>
        <v>Tarea Nivel 3</v>
      </c>
    </row>
    <row r="122" ht="22.5" customHeight="1">
      <c r="A122" s="8">
        <f>'Diagrama de Gantt - Estructura '!A122</f>
        <v>8.9</v>
      </c>
      <c r="B122" s="10" t="str">
        <f>'Diagrama de Gantt - Estructura '!B122</f>
        <v>Segunda ronda de validación</v>
      </c>
      <c r="C122" s="10" t="str">
        <f>'Diagrama de Gantt - Estructura '!K122</f>
        <v>Segunda validación</v>
      </c>
      <c r="D122" s="20">
        <f>'Diagrama de Gantt - Estructura '!G122</f>
        <v>46451</v>
      </c>
      <c r="E122" s="10" t="str">
        <f>'Diagrama de Gantt - Estructura '!F122</f>
        <v>Ambos</v>
      </c>
      <c r="F122" s="10" t="str">
        <f>'Diagrama de Gantt - Estructura '!I122</f>
        <v>No Iniciado</v>
      </c>
      <c r="G122" s="10" t="str">
        <f>'Diagrama de Gantt - Estructura '!C122</f>
        <v>Tarea Nivel 3</v>
      </c>
    </row>
    <row r="123" ht="22.5" customHeight="1">
      <c r="A123" s="8">
        <f>'Diagrama de Gantt - Estructura '!A123</f>
        <v>8.1</v>
      </c>
      <c r="B123" s="10" t="str">
        <f>'Diagrama de Gantt - Estructura '!B123</f>
        <v>Verificar operación con pérdida de Internet</v>
      </c>
      <c r="C123" s="10" t="str">
        <f>'Diagrama de Gantt - Estructura '!K123</f>
        <v>Evidencia de continuidad</v>
      </c>
      <c r="D123" s="20">
        <f>'Diagrama de Gantt - Estructura '!G123</f>
        <v>46452</v>
      </c>
      <c r="E123" s="10" t="str">
        <f>'Diagrama de Gantt - Estructura '!F123</f>
        <v>Ambos</v>
      </c>
      <c r="F123" s="10" t="str">
        <f>'Diagrama de Gantt - Estructura '!I123</f>
        <v>No Iniciado</v>
      </c>
      <c r="G123" s="10" t="str">
        <f>'Diagrama de Gantt - Estructura '!C123</f>
        <v>Tarea Nivel 3</v>
      </c>
    </row>
    <row r="124" ht="22.5" customHeight="1">
      <c r="A124" s="8" t="str">
        <f>'Diagrama de Gantt - Estructura '!A124</f>
        <v>H06</v>
      </c>
      <c r="B124" s="10" t="str">
        <f>'Diagrama de Gantt - Estructura '!B124</f>
        <v>HITO 06 — Integración y operación piloto</v>
      </c>
      <c r="C124" s="10" t="str">
        <f>'Diagrama de Gantt - Estructura '!K124</f>
        <v>KPI-35 a KPI-44 validados</v>
      </c>
      <c r="D124" s="20">
        <f>'Diagrama de Gantt - Estructura '!G124</f>
        <v>46452</v>
      </c>
      <c r="E124" s="10" t="str">
        <f>'Diagrama de Gantt - Estructura '!F124</f>
        <v>Ambos</v>
      </c>
      <c r="F124" s="10" t="str">
        <f>'Diagrama de Gantt - Estructura '!I124</f>
        <v>No completado</v>
      </c>
      <c r="G124" s="10" t="str">
        <f>'Diagrama de Gantt - Estructura '!C124</f>
        <v>Hito</v>
      </c>
    </row>
    <row r="125" ht="22.5" customHeight="1">
      <c r="A125" s="8">
        <f>'Diagrama de Gantt - Estructura '!A125</f>
        <v>9</v>
      </c>
      <c r="B125" s="10" t="str">
        <f>'Diagrama de Gantt - Estructura '!B125</f>
        <v>VALIDACIÓN INTEGRAL Y CALIDAD FINAL</v>
      </c>
      <c r="C125" s="10" t="str">
        <f>'Diagrama de Gantt - Estructura '!K125</f>
        <v>Plataforma integral validada</v>
      </c>
      <c r="D125" s="18">
        <f>'Diagrama de Gantt - Estructura '!G125</f>
        <v>46455</v>
      </c>
      <c r="E125" s="10" t="str">
        <f>'Diagrama de Gantt - Estructura '!F125</f>
        <v>Ambos</v>
      </c>
      <c r="F125" s="10" t="str">
        <f>'Diagrama de Gantt - Estructura '!I125</f>
        <v>No Iniciado</v>
      </c>
      <c r="G125" s="10" t="str">
        <f>'Diagrama de Gantt - Estructura '!C125</f>
        <v>Entregable Nivel 2</v>
      </c>
    </row>
    <row r="126" ht="22.5" customHeight="1">
      <c r="A126" s="8">
        <f>'Diagrama de Gantt - Estructura '!A126</f>
        <v>9.1</v>
      </c>
      <c r="B126" s="10" t="str">
        <f>'Diagrama de Gantt - Estructura '!B126</f>
        <v>Integración final de módulos</v>
      </c>
      <c r="C126" s="10" t="str">
        <f>'Diagrama de Gantt - Estructura '!K126</f>
        <v>Plataforma integrada</v>
      </c>
      <c r="D126" s="20">
        <f>'Diagrama de Gantt - Estructura '!G126</f>
        <v>46455</v>
      </c>
      <c r="E126" s="10" t="str">
        <f>'Diagrama de Gantt - Estructura '!F126</f>
        <v>Ambos</v>
      </c>
      <c r="F126" s="10" t="str">
        <f>'Diagrama de Gantt - Estructura '!I126</f>
        <v>No Iniciado</v>
      </c>
      <c r="G126" s="10" t="str">
        <f>'Diagrama de Gantt - Estructura '!C126</f>
        <v>Tarea Nivel 3</v>
      </c>
    </row>
    <row r="127" ht="22.5" customHeight="1">
      <c r="A127" s="8">
        <f>'Diagrama de Gantt - Estructura '!A127</f>
        <v>9.2</v>
      </c>
      <c r="B127" s="10" t="str">
        <f>'Diagrama de Gantt - Estructura '!B127</f>
        <v>Ejecutar pruebas end-to-end</v>
      </c>
      <c r="C127" s="10" t="str">
        <f>'Diagrama de Gantt - Estructura '!K127</f>
        <v>Evidencias E2E</v>
      </c>
      <c r="D127" s="20">
        <f>'Diagrama de Gantt - Estructura '!G127</f>
        <v>46457</v>
      </c>
      <c r="E127" s="10" t="str">
        <f>'Diagrama de Gantt - Estructura '!F127</f>
        <v>Ambos</v>
      </c>
      <c r="F127" s="10" t="str">
        <f>'Diagrama de Gantt - Estructura '!I127</f>
        <v>No Iniciado</v>
      </c>
      <c r="G127" s="10" t="str">
        <f>'Diagrama de Gantt - Estructura '!C127</f>
        <v>Tarea Nivel 3</v>
      </c>
    </row>
    <row r="128" ht="22.5" customHeight="1">
      <c r="A128" s="8">
        <f>'Diagrama de Gantt - Estructura '!A128</f>
        <v>9.3</v>
      </c>
      <c r="B128" s="10" t="str">
        <f>'Diagrama de Gantt - Estructura '!B128</f>
        <v>Ejecutar pruebas de regresión</v>
      </c>
      <c r="C128" s="10" t="str">
        <f>'Diagrama de Gantt - Estructura '!K128</f>
        <v>Evidencias de regresión</v>
      </c>
      <c r="D128" s="20">
        <f>'Diagrama de Gantt - Estructura '!G128</f>
        <v>46458</v>
      </c>
      <c r="E128" s="10" t="str">
        <f>'Diagrama de Gantt - Estructura '!F128</f>
        <v>Saul</v>
      </c>
      <c r="F128" s="10" t="str">
        <f>'Diagrama de Gantt - Estructura '!I128</f>
        <v>No Iniciado</v>
      </c>
      <c r="G128" s="10" t="str">
        <f>'Diagrama de Gantt - Estructura '!C128</f>
        <v>Tarea Nivel 3</v>
      </c>
    </row>
    <row r="129" ht="22.5" customHeight="1">
      <c r="A129" s="8">
        <f>'Diagrama de Gantt - Estructura '!A129</f>
        <v>9.4</v>
      </c>
      <c r="B129" s="10" t="str">
        <f>'Diagrama de Gantt - Estructura '!B129</f>
        <v>Validar flujo de reportes</v>
      </c>
      <c r="C129" s="10" t="str">
        <f>'Diagrama de Gantt - Estructura '!K129</f>
        <v>Flujo de reportes validado</v>
      </c>
      <c r="D129" s="18">
        <f>'Diagrama de Gantt - Estructura '!G129</f>
        <v>46459</v>
      </c>
      <c r="E129" s="10" t="str">
        <f>'Diagrama de Gantt - Estructura '!F129</f>
        <v>Tú</v>
      </c>
      <c r="F129" s="10" t="str">
        <f>'Diagrama de Gantt - Estructura '!I129</f>
        <v>No Iniciado</v>
      </c>
      <c r="G129" s="10" t="str">
        <f>'Diagrama de Gantt - Estructura '!C129</f>
        <v>Tarea Nivel 3</v>
      </c>
    </row>
    <row r="130" ht="22.5" customHeight="1">
      <c r="A130" s="8">
        <f>'Diagrama de Gantt - Estructura '!A130</f>
        <v>9.5</v>
      </c>
      <c r="B130" s="10" t="str">
        <f>'Diagrama de Gantt - Estructura '!B130</f>
        <v>Validar comunicación por correo electrónico</v>
      </c>
      <c r="C130" s="10" t="str">
        <f>'Diagrama de Gantt - Estructura '!K130</f>
        <v>Comunicación validada</v>
      </c>
      <c r="D130" s="18">
        <f>'Diagrama de Gantt - Estructura '!G130</f>
        <v>46461</v>
      </c>
      <c r="E130" s="10" t="str">
        <f>'Diagrama de Gantt - Estructura '!F130</f>
        <v>Saul</v>
      </c>
      <c r="F130" s="10" t="str">
        <f>'Diagrama de Gantt - Estructura '!I130</f>
        <v>No Iniciado</v>
      </c>
      <c r="G130" s="10" t="str">
        <f>'Diagrama de Gantt - Estructura '!C130</f>
        <v>Tarea Nivel 3</v>
      </c>
    </row>
    <row r="131" ht="22.5" customHeight="1">
      <c r="A131" s="8">
        <f>'Diagrama de Gantt - Estructura '!A131</f>
        <v>9.6</v>
      </c>
      <c r="B131" s="10" t="str">
        <f>'Diagrama de Gantt - Estructura '!B131</f>
        <v>Validar historial y control de asistencia</v>
      </c>
      <c r="C131" s="10" t="str">
        <f>'Diagrama de Gantt - Estructura '!K131</f>
        <v>Asistencia validada</v>
      </c>
      <c r="D131" s="18">
        <f>'Diagrama de Gantt - Estructura '!G131</f>
        <v>46462</v>
      </c>
      <c r="E131" s="10" t="str">
        <f>'Diagrama de Gantt - Estructura '!F131</f>
        <v>Ambos</v>
      </c>
      <c r="F131" s="10" t="str">
        <f>'Diagrama de Gantt - Estructura '!I131</f>
        <v>No Iniciado</v>
      </c>
      <c r="G131" s="10" t="str">
        <f>'Diagrama de Gantt - Estructura '!C131</f>
        <v>Tarea Nivel 3</v>
      </c>
    </row>
    <row r="132" ht="22.5" customHeight="1">
      <c r="A132" s="8">
        <f>'Diagrama de Gantt - Estructura '!A132</f>
        <v>9.7</v>
      </c>
      <c r="B132" s="10" t="str">
        <f>'Diagrama de Gantt - Estructura '!B132</f>
        <v>Validar roles, permisos y trazabilidad</v>
      </c>
      <c r="C132" s="10" t="str">
        <f>'Diagrama de Gantt - Estructura '!K132</f>
        <v>Seguridad funcional validada</v>
      </c>
      <c r="D132" s="18">
        <f>'Diagrama de Gantt - Estructura '!G132</f>
        <v>46463</v>
      </c>
      <c r="E132" s="10" t="str">
        <f>'Diagrama de Gantt - Estructura '!F132</f>
        <v>Saul</v>
      </c>
      <c r="F132" s="10" t="str">
        <f>'Diagrama de Gantt - Estructura '!I132</f>
        <v>No Iniciado</v>
      </c>
      <c r="G132" s="10" t="str">
        <f>'Diagrama de Gantt - Estructura '!C132</f>
        <v>Tarea Nivel 3</v>
      </c>
    </row>
    <row r="133" ht="22.5" customHeight="1">
      <c r="A133" s="8">
        <f>'Diagrama de Gantt - Estructura '!A133</f>
        <v>9.8</v>
      </c>
      <c r="B133" s="10" t="str">
        <f>'Diagrama de Gantt - Estructura '!B133</f>
        <v>Correcciones de integración</v>
      </c>
      <c r="C133" s="10" t="str">
        <f>'Diagrama de Gantt - Estructura '!K133</f>
        <v>Versión candidata</v>
      </c>
      <c r="D133" s="18">
        <f>'Diagrama de Gantt - Estructura '!G133</f>
        <v>46464</v>
      </c>
      <c r="E133" s="10" t="str">
        <f>'Diagrama de Gantt - Estructura '!F133</f>
        <v>Ambos</v>
      </c>
      <c r="F133" s="10" t="str">
        <f>'Diagrama de Gantt - Estructura '!I133</f>
        <v>No Iniciado</v>
      </c>
      <c r="G133" s="10" t="str">
        <f>'Diagrama de Gantt - Estructura '!C133</f>
        <v>Tarea Nivel 3</v>
      </c>
    </row>
    <row r="134" ht="22.5" customHeight="1">
      <c r="A134" s="8">
        <f>'Diagrama de Gantt - Estructura '!A134</f>
        <v>9.9</v>
      </c>
      <c r="B134" s="10" t="str">
        <f>'Diagrama de Gantt - Estructura '!B134</f>
        <v>Verificación final de KPIs</v>
      </c>
      <c r="C134" s="10" t="str">
        <f>'Diagrama de Gantt - Estructura '!K134</f>
        <v>Matriz KPI validada</v>
      </c>
      <c r="D134" s="18">
        <f>'Diagrama de Gantt - Estructura '!G134</f>
        <v>46465</v>
      </c>
      <c r="E134" s="10" t="str">
        <f>'Diagrama de Gantt - Estructura '!F134</f>
        <v>Ambos</v>
      </c>
      <c r="F134" s="10" t="str">
        <f>'Diagrama de Gantt - Estructura '!I134</f>
        <v>No Iniciado</v>
      </c>
      <c r="G134" s="10" t="str">
        <f>'Diagrama de Gantt - Estructura '!C134</f>
        <v>Tarea Nivel 3</v>
      </c>
    </row>
    <row r="135" ht="22.5" customHeight="1">
      <c r="A135" s="8">
        <f>'Diagrama de Gantt - Estructura '!A135</f>
        <v>9.1</v>
      </c>
      <c r="B135" s="10" t="str">
        <f>'Diagrama de Gantt - Estructura '!B135</f>
        <v>Preparar versión candidata a entrega</v>
      </c>
      <c r="C135" s="10" t="str">
        <f>'Diagrama de Gantt - Estructura '!K135</f>
        <v>Release candidate</v>
      </c>
      <c r="D135" s="18">
        <f>'Diagrama de Gantt - Estructura '!G135</f>
        <v>46466</v>
      </c>
      <c r="E135" s="10" t="str">
        <f>'Diagrama de Gantt - Estructura '!F135</f>
        <v>Ambos</v>
      </c>
      <c r="F135" s="10" t="str">
        <f>'Diagrama de Gantt - Estructura '!I135</f>
        <v>No Iniciado</v>
      </c>
      <c r="G135" s="10" t="str">
        <f>'Diagrama de Gantt - Estructura '!C135</f>
        <v>Tarea Nivel 3</v>
      </c>
    </row>
    <row r="136" ht="22.5" customHeight="1">
      <c r="A136" s="8" t="str">
        <f>'Diagrama de Gantt - Estructura '!A136</f>
        <v>H07</v>
      </c>
      <c r="B136" s="10" t="str">
        <f>'Diagrama de Gantt - Estructura '!B136</f>
        <v>HITO 07 — Plataforma integral validada</v>
      </c>
      <c r="C136" s="10" t="str">
        <f>'Diagrama de Gantt - Estructura '!K136</f>
        <v>KPI-45 a KPI-64 validados</v>
      </c>
      <c r="D136" s="18">
        <f>'Diagrama de Gantt - Estructura '!G136</f>
        <v>46466</v>
      </c>
      <c r="E136" s="10" t="str">
        <f>'Diagrama de Gantt - Estructura '!F136</f>
        <v>Ambos</v>
      </c>
      <c r="F136" s="10" t="str">
        <f>'Diagrama de Gantt - Estructura '!I136</f>
        <v>No completado</v>
      </c>
      <c r="G136" s="10" t="str">
        <f>'Diagrama de Gantt - Estructura '!C136</f>
        <v>Hito</v>
      </c>
    </row>
    <row r="137" ht="22.5" customHeight="1">
      <c r="A137" s="8">
        <f>'Diagrama de Gantt - Estructura '!A137</f>
        <v>10</v>
      </c>
      <c r="B137" s="10" t="str">
        <f>'Diagrama de Gantt - Estructura '!B137</f>
        <v>PREPARACIÓN PARA OPERACIÓN Y ENTREGA</v>
      </c>
      <c r="C137" s="10" t="str">
        <f>'Diagrama de Gantt - Estructura '!K137</f>
        <v>Versión final entregable</v>
      </c>
      <c r="D137" s="18">
        <f>'Diagrama de Gantt - Estructura '!G137</f>
        <v>46467</v>
      </c>
      <c r="E137" s="10" t="str">
        <f>'Diagrama de Gantt - Estructura '!F137</f>
        <v>Ambos</v>
      </c>
      <c r="F137" s="10" t="str">
        <f>'Diagrama de Gantt - Estructura '!I137</f>
        <v>No Iniciado</v>
      </c>
      <c r="G137" s="10" t="str">
        <f>'Diagrama de Gantt - Estructura '!C137</f>
        <v>Entregable Nivel 2</v>
      </c>
    </row>
    <row r="138" ht="22.5" customHeight="1">
      <c r="A138" s="8">
        <f>'Diagrama de Gantt - Estructura '!A138</f>
        <v>10.1</v>
      </c>
      <c r="B138" s="10" t="str">
        <f>'Diagrama de Gantt - Estructura '!B138</f>
        <v>Validar respaldos y recuperación finales</v>
      </c>
      <c r="C138" s="10" t="str">
        <f>'Diagrama de Gantt - Estructura '!K138</f>
        <v>Evidencia final</v>
      </c>
      <c r="D138" s="18">
        <f>'Diagrama de Gantt - Estructura '!G138</f>
        <v>46467</v>
      </c>
      <c r="E138" s="10" t="str">
        <f>'Diagrama de Gantt - Estructura '!F138</f>
        <v>Saul</v>
      </c>
      <c r="F138" s="10" t="str">
        <f>'Diagrama de Gantt - Estructura '!I138</f>
        <v>No Iniciado</v>
      </c>
      <c r="G138" s="10" t="str">
        <f>'Diagrama de Gantt - Estructura '!C138</f>
        <v>Tarea Nivel 3</v>
      </c>
    </row>
    <row r="139">
      <c r="A139" s="47"/>
    </row>
    <row r="140">
      <c r="A140" s="47"/>
    </row>
    <row r="141">
      <c r="A141" s="47"/>
    </row>
    <row r="142">
      <c r="A142" s="47"/>
    </row>
    <row r="143">
      <c r="A143" s="47"/>
    </row>
    <row r="144">
      <c r="A144" s="47"/>
    </row>
    <row r="145">
      <c r="A145" s="47"/>
    </row>
    <row r="146">
      <c r="A146" s="47"/>
    </row>
    <row r="147">
      <c r="A147" s="47"/>
    </row>
    <row r="148">
      <c r="A148" s="47"/>
    </row>
    <row r="149">
      <c r="A149" s="47"/>
    </row>
    <row r="150">
      <c r="A150" s="47"/>
    </row>
    <row r="151">
      <c r="A151" s="47"/>
    </row>
    <row r="152">
      <c r="A152" s="47"/>
    </row>
    <row r="153">
      <c r="A153" s="47"/>
    </row>
    <row r="154">
      <c r="A154" s="47"/>
    </row>
    <row r="155">
      <c r="A155" s="47"/>
    </row>
    <row r="156">
      <c r="A156" s="47"/>
    </row>
    <row r="157">
      <c r="A157" s="47"/>
    </row>
    <row r="158">
      <c r="A158" s="47"/>
    </row>
    <row r="159">
      <c r="A159" s="47"/>
    </row>
    <row r="160">
      <c r="A160" s="47"/>
    </row>
    <row r="161">
      <c r="A161" s="47"/>
    </row>
    <row r="162">
      <c r="A162" s="47"/>
    </row>
    <row r="163">
      <c r="A163" s="47"/>
    </row>
    <row r="164">
      <c r="A164" s="47"/>
    </row>
    <row r="165">
      <c r="A165" s="47"/>
    </row>
    <row r="166">
      <c r="A166" s="47"/>
    </row>
    <row r="167">
      <c r="A167" s="47"/>
    </row>
    <row r="168">
      <c r="A168" s="47"/>
    </row>
    <row r="169">
      <c r="A169" s="47"/>
    </row>
    <row r="170">
      <c r="A170" s="47"/>
    </row>
    <row r="171">
      <c r="A171" s="47"/>
    </row>
    <row r="172">
      <c r="A172" s="47"/>
    </row>
    <row r="173">
      <c r="A173" s="47"/>
    </row>
    <row r="174">
      <c r="A174" s="47"/>
    </row>
    <row r="175">
      <c r="A175" s="47"/>
    </row>
    <row r="176">
      <c r="A176" s="47"/>
    </row>
    <row r="177">
      <c r="A177" s="47"/>
    </row>
    <row r="178">
      <c r="A178" s="47"/>
    </row>
    <row r="179">
      <c r="A179" s="47"/>
    </row>
    <row r="180">
      <c r="A180" s="47"/>
    </row>
    <row r="181">
      <c r="A181" s="47"/>
    </row>
    <row r="182">
      <c r="A182" s="47"/>
    </row>
    <row r="183">
      <c r="A183" s="47"/>
    </row>
    <row r="184">
      <c r="A184" s="47"/>
    </row>
    <row r="185">
      <c r="A185" s="47"/>
    </row>
    <row r="186">
      <c r="A186" s="47"/>
    </row>
    <row r="187">
      <c r="A187" s="47"/>
    </row>
    <row r="188">
      <c r="A188" s="47"/>
    </row>
    <row r="189">
      <c r="A189" s="47"/>
    </row>
    <row r="190">
      <c r="A190" s="47"/>
    </row>
    <row r="191">
      <c r="A191" s="47"/>
    </row>
    <row r="192">
      <c r="A192" s="47"/>
    </row>
    <row r="193">
      <c r="A193" s="47"/>
    </row>
    <row r="194">
      <c r="A194" s="47"/>
    </row>
    <row r="195">
      <c r="A195" s="47"/>
    </row>
    <row r="196">
      <c r="A196" s="47"/>
    </row>
    <row r="197">
      <c r="A197" s="47"/>
    </row>
    <row r="198">
      <c r="A198" s="47"/>
    </row>
    <row r="199">
      <c r="A199" s="47"/>
    </row>
    <row r="200">
      <c r="A200" s="47"/>
    </row>
    <row r="201">
      <c r="A201" s="47"/>
    </row>
    <row r="202">
      <c r="A202" s="47"/>
    </row>
    <row r="203">
      <c r="A203" s="47"/>
    </row>
    <row r="204">
      <c r="A204" s="47"/>
    </row>
    <row r="205">
      <c r="A205" s="47"/>
    </row>
    <row r="206">
      <c r="A206" s="47"/>
    </row>
    <row r="207">
      <c r="A207" s="47"/>
    </row>
    <row r="208">
      <c r="A208" s="47"/>
    </row>
    <row r="209">
      <c r="A209" s="47"/>
    </row>
    <row r="210">
      <c r="A210" s="47"/>
    </row>
    <row r="211">
      <c r="A211" s="47"/>
    </row>
    <row r="212">
      <c r="A212" s="47"/>
    </row>
    <row r="213">
      <c r="A213" s="47"/>
    </row>
    <row r="214">
      <c r="A214" s="47"/>
    </row>
    <row r="215">
      <c r="A215" s="47"/>
    </row>
    <row r="216">
      <c r="A216" s="47"/>
    </row>
    <row r="217">
      <c r="A217" s="47"/>
    </row>
    <row r="218">
      <c r="A218" s="47"/>
    </row>
    <row r="219">
      <c r="A219" s="47"/>
    </row>
    <row r="220">
      <c r="A220" s="47"/>
    </row>
    <row r="221">
      <c r="A221" s="47"/>
    </row>
    <row r="222">
      <c r="A222" s="47"/>
    </row>
    <row r="223">
      <c r="A223" s="47"/>
    </row>
    <row r="224">
      <c r="A224" s="47"/>
    </row>
    <row r="225">
      <c r="A225" s="47"/>
    </row>
    <row r="226">
      <c r="A226" s="47"/>
    </row>
    <row r="227">
      <c r="A227" s="47"/>
    </row>
    <row r="228">
      <c r="A228" s="47"/>
    </row>
    <row r="229">
      <c r="A229" s="47"/>
    </row>
    <row r="230">
      <c r="A230" s="47"/>
    </row>
    <row r="231">
      <c r="A231" s="47"/>
    </row>
    <row r="232">
      <c r="A232" s="47"/>
    </row>
    <row r="233">
      <c r="A233" s="47"/>
    </row>
    <row r="234">
      <c r="A234" s="47"/>
    </row>
    <row r="235">
      <c r="A235" s="47"/>
    </row>
    <row r="236">
      <c r="A236" s="47"/>
    </row>
    <row r="237">
      <c r="A237" s="47"/>
    </row>
    <row r="238">
      <c r="A238" s="47"/>
    </row>
    <row r="239">
      <c r="A239" s="47"/>
    </row>
    <row r="240">
      <c r="A240" s="47"/>
    </row>
    <row r="241">
      <c r="A241" s="47"/>
    </row>
    <row r="242">
      <c r="A242" s="47"/>
    </row>
    <row r="243">
      <c r="A243" s="47"/>
    </row>
    <row r="244">
      <c r="A244" s="47"/>
    </row>
    <row r="245">
      <c r="A245" s="47"/>
    </row>
    <row r="246">
      <c r="A246" s="47"/>
    </row>
    <row r="247">
      <c r="A247" s="47"/>
    </row>
    <row r="248">
      <c r="A248" s="47"/>
    </row>
    <row r="249">
      <c r="A249" s="47"/>
    </row>
    <row r="250">
      <c r="A250" s="47"/>
    </row>
    <row r="251">
      <c r="A251" s="47"/>
    </row>
    <row r="252">
      <c r="A252" s="47"/>
    </row>
    <row r="253">
      <c r="A253" s="47"/>
    </row>
    <row r="254">
      <c r="A254" s="47"/>
    </row>
    <row r="255">
      <c r="A255" s="47"/>
    </row>
    <row r="256">
      <c r="A256" s="47"/>
    </row>
    <row r="257">
      <c r="A257" s="47"/>
    </row>
    <row r="258">
      <c r="A258" s="47"/>
    </row>
    <row r="259">
      <c r="A259" s="47"/>
    </row>
    <row r="260">
      <c r="A260" s="47"/>
    </row>
    <row r="261">
      <c r="A261" s="47"/>
    </row>
    <row r="262">
      <c r="A262" s="47"/>
    </row>
    <row r="263">
      <c r="A263" s="47"/>
    </row>
    <row r="264">
      <c r="A264" s="47"/>
    </row>
    <row r="265">
      <c r="A265" s="47"/>
    </row>
    <row r="266">
      <c r="A266" s="47"/>
    </row>
    <row r="267">
      <c r="A267" s="47"/>
    </row>
    <row r="268">
      <c r="A268" s="47"/>
    </row>
    <row r="269">
      <c r="A269" s="47"/>
    </row>
    <row r="270">
      <c r="A270" s="47"/>
    </row>
    <row r="271">
      <c r="A271" s="47"/>
    </row>
    <row r="272">
      <c r="A272" s="47"/>
    </row>
    <row r="273">
      <c r="A273" s="47"/>
    </row>
    <row r="274">
      <c r="A274" s="47"/>
    </row>
    <row r="275">
      <c r="A275" s="47"/>
    </row>
    <row r="276">
      <c r="A276" s="47"/>
    </row>
    <row r="277">
      <c r="A277" s="47"/>
    </row>
    <row r="278">
      <c r="A278" s="47"/>
    </row>
    <row r="279">
      <c r="A279" s="47"/>
    </row>
    <row r="280">
      <c r="A280" s="47"/>
    </row>
    <row r="281">
      <c r="A281" s="47"/>
    </row>
    <row r="282">
      <c r="A282" s="47"/>
    </row>
    <row r="283">
      <c r="A283" s="47"/>
    </row>
    <row r="284">
      <c r="A284" s="47"/>
    </row>
    <row r="285">
      <c r="A285" s="47"/>
    </row>
    <row r="286">
      <c r="A286" s="47"/>
    </row>
    <row r="287">
      <c r="A287" s="47"/>
    </row>
    <row r="288">
      <c r="A288" s="47"/>
    </row>
    <row r="289">
      <c r="A289" s="47"/>
    </row>
    <row r="290">
      <c r="A290" s="47"/>
    </row>
    <row r="291">
      <c r="A291" s="47"/>
    </row>
    <row r="292">
      <c r="A292" s="47"/>
    </row>
    <row r="293">
      <c r="A293" s="47"/>
    </row>
    <row r="294">
      <c r="A294" s="47"/>
    </row>
    <row r="295">
      <c r="A295" s="47"/>
    </row>
    <row r="296">
      <c r="A296" s="47"/>
    </row>
    <row r="297">
      <c r="A297" s="47"/>
    </row>
    <row r="298">
      <c r="A298" s="47"/>
    </row>
    <row r="299">
      <c r="A299" s="47"/>
    </row>
    <row r="300">
      <c r="A300" s="47"/>
    </row>
    <row r="301">
      <c r="A301" s="47"/>
    </row>
    <row r="302">
      <c r="A302" s="47"/>
    </row>
    <row r="303">
      <c r="A303" s="47"/>
    </row>
    <row r="304">
      <c r="A304" s="47"/>
    </row>
    <row r="305">
      <c r="A305" s="47"/>
    </row>
    <row r="306">
      <c r="A306" s="47"/>
    </row>
    <row r="307">
      <c r="A307" s="47"/>
    </row>
    <row r="308">
      <c r="A308" s="47"/>
    </row>
    <row r="309">
      <c r="A309" s="47"/>
    </row>
    <row r="310">
      <c r="A310" s="47"/>
    </row>
    <row r="311">
      <c r="A311" s="47"/>
    </row>
    <row r="312">
      <c r="A312" s="47"/>
    </row>
    <row r="313">
      <c r="A313" s="47"/>
    </row>
    <row r="314">
      <c r="A314" s="47"/>
    </row>
    <row r="315">
      <c r="A315" s="47"/>
    </row>
    <row r="316">
      <c r="A316" s="47"/>
    </row>
    <row r="317">
      <c r="A317" s="47"/>
    </row>
    <row r="318">
      <c r="A318" s="47"/>
    </row>
    <row r="319">
      <c r="A319" s="47"/>
    </row>
    <row r="320">
      <c r="A320" s="47"/>
    </row>
    <row r="321">
      <c r="A321" s="47"/>
    </row>
    <row r="322">
      <c r="A322" s="47"/>
    </row>
    <row r="323">
      <c r="A323" s="47"/>
    </row>
    <row r="324">
      <c r="A324" s="47"/>
    </row>
    <row r="325">
      <c r="A325" s="47"/>
    </row>
    <row r="326">
      <c r="A326" s="47"/>
    </row>
    <row r="327">
      <c r="A327" s="47"/>
    </row>
    <row r="328">
      <c r="A328" s="47"/>
    </row>
    <row r="329">
      <c r="A329" s="47"/>
    </row>
    <row r="330">
      <c r="A330" s="47"/>
    </row>
    <row r="331">
      <c r="A331" s="47"/>
    </row>
    <row r="332">
      <c r="A332" s="47"/>
    </row>
    <row r="333">
      <c r="A333" s="47"/>
    </row>
    <row r="334">
      <c r="A334" s="47"/>
    </row>
    <row r="335">
      <c r="A335" s="47"/>
    </row>
    <row r="336">
      <c r="A336" s="47"/>
    </row>
    <row r="337">
      <c r="A337" s="47"/>
    </row>
    <row r="338">
      <c r="A338" s="47"/>
    </row>
    <row r="339">
      <c r="A339" s="47"/>
    </row>
    <row r="340">
      <c r="A340" s="47"/>
    </row>
    <row r="341">
      <c r="A341" s="47"/>
    </row>
    <row r="342">
      <c r="A342" s="47"/>
    </row>
    <row r="343">
      <c r="A343" s="47"/>
    </row>
    <row r="344">
      <c r="A344" s="47"/>
    </row>
    <row r="345">
      <c r="A345" s="47"/>
    </row>
    <row r="346">
      <c r="A346" s="47"/>
    </row>
    <row r="347">
      <c r="A347" s="47"/>
    </row>
    <row r="348">
      <c r="A348" s="47"/>
    </row>
    <row r="349">
      <c r="A349" s="47"/>
    </row>
    <row r="350">
      <c r="A350" s="47"/>
    </row>
    <row r="351">
      <c r="A351" s="47"/>
    </row>
    <row r="352">
      <c r="A352" s="47"/>
    </row>
    <row r="353">
      <c r="A353" s="47"/>
    </row>
    <row r="354">
      <c r="A354" s="47"/>
    </row>
    <row r="355">
      <c r="A355" s="47"/>
    </row>
    <row r="356">
      <c r="A356" s="47"/>
    </row>
    <row r="357">
      <c r="A357" s="47"/>
    </row>
    <row r="358">
      <c r="A358" s="47"/>
    </row>
    <row r="359">
      <c r="A359" s="47"/>
    </row>
    <row r="360">
      <c r="A360" s="47"/>
    </row>
    <row r="361">
      <c r="A361" s="47"/>
    </row>
    <row r="362">
      <c r="A362" s="47"/>
    </row>
    <row r="363">
      <c r="A363" s="47"/>
    </row>
    <row r="364">
      <c r="A364" s="47"/>
    </row>
    <row r="365">
      <c r="A365" s="47"/>
    </row>
    <row r="366">
      <c r="A366" s="47"/>
    </row>
    <row r="367">
      <c r="A367" s="47"/>
    </row>
    <row r="368">
      <c r="A368" s="47"/>
    </row>
    <row r="369">
      <c r="A369" s="47"/>
    </row>
    <row r="370">
      <c r="A370" s="47"/>
    </row>
    <row r="371">
      <c r="A371" s="47"/>
    </row>
    <row r="372">
      <c r="A372" s="47"/>
    </row>
    <row r="373">
      <c r="A373" s="47"/>
    </row>
    <row r="374">
      <c r="A374" s="47"/>
    </row>
    <row r="375">
      <c r="A375" s="47"/>
    </row>
    <row r="376">
      <c r="A376" s="47"/>
    </row>
    <row r="377">
      <c r="A377" s="47"/>
    </row>
    <row r="378">
      <c r="A378" s="47"/>
    </row>
    <row r="379">
      <c r="A379" s="47"/>
    </row>
    <row r="380">
      <c r="A380" s="47"/>
    </row>
    <row r="381">
      <c r="A381" s="47"/>
    </row>
    <row r="382">
      <c r="A382" s="47"/>
    </row>
    <row r="383">
      <c r="A383" s="47"/>
    </row>
    <row r="384">
      <c r="A384" s="47"/>
    </row>
    <row r="385">
      <c r="A385" s="47"/>
    </row>
    <row r="386">
      <c r="A386" s="47"/>
    </row>
    <row r="387">
      <c r="A387" s="47"/>
    </row>
    <row r="388">
      <c r="A388" s="47"/>
    </row>
    <row r="389">
      <c r="A389" s="47"/>
    </row>
    <row r="390">
      <c r="A390" s="47"/>
    </row>
    <row r="391">
      <c r="A391" s="47"/>
    </row>
    <row r="392">
      <c r="A392" s="47"/>
    </row>
    <row r="393">
      <c r="A393" s="47"/>
    </row>
    <row r="394">
      <c r="A394" s="47"/>
    </row>
    <row r="395">
      <c r="A395" s="47"/>
    </row>
    <row r="396">
      <c r="A396" s="47"/>
    </row>
    <row r="397">
      <c r="A397" s="47"/>
    </row>
    <row r="398">
      <c r="A398" s="47"/>
    </row>
    <row r="399">
      <c r="A399" s="47"/>
    </row>
    <row r="400">
      <c r="A400" s="47"/>
    </row>
    <row r="401">
      <c r="A401" s="47"/>
    </row>
    <row r="402">
      <c r="A402" s="47"/>
    </row>
    <row r="403">
      <c r="A403" s="47"/>
    </row>
    <row r="404">
      <c r="A404" s="47"/>
    </row>
    <row r="405">
      <c r="A405" s="47"/>
    </row>
    <row r="406">
      <c r="A406" s="47"/>
    </row>
    <row r="407">
      <c r="A407" s="47"/>
    </row>
    <row r="408">
      <c r="A408" s="47"/>
    </row>
    <row r="409">
      <c r="A409" s="47"/>
    </row>
    <row r="410">
      <c r="A410" s="47"/>
    </row>
    <row r="411">
      <c r="A411" s="47"/>
    </row>
    <row r="412">
      <c r="A412" s="47"/>
    </row>
    <row r="413">
      <c r="A413" s="47"/>
    </row>
    <row r="414">
      <c r="A414" s="47"/>
    </row>
    <row r="415">
      <c r="A415" s="47"/>
    </row>
    <row r="416">
      <c r="A416" s="47"/>
    </row>
    <row r="417">
      <c r="A417" s="47"/>
    </row>
    <row r="418">
      <c r="A418" s="47"/>
    </row>
    <row r="419">
      <c r="A419" s="47"/>
    </row>
    <row r="420">
      <c r="A420" s="47"/>
    </row>
    <row r="421">
      <c r="A421" s="47"/>
    </row>
    <row r="422">
      <c r="A422" s="47"/>
    </row>
    <row r="423">
      <c r="A423" s="47"/>
    </row>
    <row r="424">
      <c r="A424" s="47"/>
    </row>
    <row r="425">
      <c r="A425" s="47"/>
    </row>
    <row r="426">
      <c r="A426" s="47"/>
    </row>
    <row r="427">
      <c r="A427" s="47"/>
    </row>
    <row r="428">
      <c r="A428" s="47"/>
    </row>
    <row r="429">
      <c r="A429" s="47"/>
    </row>
    <row r="430">
      <c r="A430" s="47"/>
    </row>
    <row r="431">
      <c r="A431" s="47"/>
    </row>
    <row r="432">
      <c r="A432" s="47"/>
    </row>
    <row r="433">
      <c r="A433" s="47"/>
    </row>
    <row r="434">
      <c r="A434" s="47"/>
    </row>
    <row r="435">
      <c r="A435" s="47"/>
    </row>
    <row r="436">
      <c r="A436" s="47"/>
    </row>
    <row r="437">
      <c r="A437" s="47"/>
    </row>
    <row r="438">
      <c r="A438" s="47"/>
    </row>
    <row r="439">
      <c r="A439" s="47"/>
    </row>
    <row r="440">
      <c r="A440" s="47"/>
    </row>
    <row r="441">
      <c r="A441" s="47"/>
    </row>
    <row r="442">
      <c r="A442" s="47"/>
    </row>
    <row r="443">
      <c r="A443" s="47"/>
    </row>
    <row r="444">
      <c r="A444" s="47"/>
    </row>
    <row r="445">
      <c r="A445" s="47"/>
    </row>
    <row r="446">
      <c r="A446" s="47"/>
    </row>
    <row r="447">
      <c r="A447" s="47"/>
    </row>
    <row r="448">
      <c r="A448" s="47"/>
    </row>
    <row r="449">
      <c r="A449" s="47"/>
    </row>
    <row r="450">
      <c r="A450" s="47"/>
    </row>
    <row r="451">
      <c r="A451" s="47"/>
    </row>
    <row r="452">
      <c r="A452" s="47"/>
    </row>
    <row r="453">
      <c r="A453" s="47"/>
    </row>
    <row r="454">
      <c r="A454" s="47"/>
    </row>
    <row r="455">
      <c r="A455" s="47"/>
    </row>
    <row r="456">
      <c r="A456" s="47"/>
    </row>
    <row r="457">
      <c r="A457" s="47"/>
    </row>
    <row r="458">
      <c r="A458" s="47"/>
    </row>
    <row r="459">
      <c r="A459" s="47"/>
    </row>
    <row r="460">
      <c r="A460" s="47"/>
    </row>
    <row r="461">
      <c r="A461" s="47"/>
    </row>
    <row r="462">
      <c r="A462" s="47"/>
    </row>
    <row r="463">
      <c r="A463" s="47"/>
    </row>
    <row r="464">
      <c r="A464" s="47"/>
    </row>
    <row r="465">
      <c r="A465" s="47"/>
    </row>
    <row r="466">
      <c r="A466" s="47"/>
    </row>
    <row r="467">
      <c r="A467" s="47"/>
    </row>
    <row r="468">
      <c r="A468" s="47"/>
    </row>
    <row r="469">
      <c r="A469" s="47"/>
    </row>
    <row r="470">
      <c r="A470" s="47"/>
    </row>
    <row r="471">
      <c r="A471" s="47"/>
    </row>
    <row r="472">
      <c r="A472" s="47"/>
    </row>
    <row r="473">
      <c r="A473" s="47"/>
    </row>
    <row r="474">
      <c r="A474" s="47"/>
    </row>
    <row r="475">
      <c r="A475" s="47"/>
    </row>
    <row r="476">
      <c r="A476" s="47"/>
    </row>
    <row r="477">
      <c r="A477" s="47"/>
    </row>
    <row r="478">
      <c r="A478" s="47"/>
    </row>
    <row r="479">
      <c r="A479" s="47"/>
    </row>
    <row r="480">
      <c r="A480" s="47"/>
    </row>
    <row r="481">
      <c r="A481" s="47"/>
    </row>
    <row r="482">
      <c r="A482" s="47"/>
    </row>
    <row r="483">
      <c r="A483" s="47"/>
    </row>
    <row r="484">
      <c r="A484" s="47"/>
    </row>
    <row r="485">
      <c r="A485" s="47"/>
    </row>
    <row r="486">
      <c r="A486" s="47"/>
    </row>
    <row r="487">
      <c r="A487" s="47"/>
    </row>
    <row r="488">
      <c r="A488" s="47"/>
    </row>
    <row r="489">
      <c r="A489" s="47"/>
    </row>
    <row r="490">
      <c r="A490" s="47"/>
    </row>
    <row r="491">
      <c r="A491" s="47"/>
    </row>
    <row r="492">
      <c r="A492" s="47"/>
    </row>
    <row r="493">
      <c r="A493" s="47"/>
    </row>
    <row r="494">
      <c r="A494" s="47"/>
    </row>
    <row r="495">
      <c r="A495" s="47"/>
    </row>
    <row r="496">
      <c r="A496" s="47"/>
    </row>
    <row r="497">
      <c r="A497" s="47"/>
    </row>
    <row r="498">
      <c r="A498" s="47"/>
    </row>
    <row r="499">
      <c r="A499" s="47"/>
    </row>
    <row r="500">
      <c r="A500" s="47"/>
    </row>
    <row r="501">
      <c r="A501" s="47"/>
    </row>
    <row r="502">
      <c r="A502" s="47"/>
    </row>
    <row r="503">
      <c r="A503" s="47"/>
    </row>
    <row r="504">
      <c r="A504" s="47"/>
    </row>
    <row r="505">
      <c r="A505" s="47"/>
    </row>
    <row r="506">
      <c r="A506" s="47"/>
    </row>
    <row r="507">
      <c r="A507" s="47"/>
    </row>
    <row r="508">
      <c r="A508" s="47"/>
    </row>
    <row r="509">
      <c r="A509" s="47"/>
    </row>
    <row r="510">
      <c r="A510" s="47"/>
    </row>
    <row r="511">
      <c r="A511" s="47"/>
    </row>
    <row r="512">
      <c r="A512" s="47"/>
    </row>
    <row r="513">
      <c r="A513" s="47"/>
    </row>
    <row r="514">
      <c r="A514" s="47"/>
    </row>
    <row r="515">
      <c r="A515" s="47"/>
    </row>
    <row r="516">
      <c r="A516" s="47"/>
    </row>
    <row r="517">
      <c r="A517" s="47"/>
    </row>
    <row r="518">
      <c r="A518" s="47"/>
    </row>
    <row r="519">
      <c r="A519" s="47"/>
    </row>
    <row r="520">
      <c r="A520" s="47"/>
    </row>
    <row r="521">
      <c r="A521" s="47"/>
    </row>
    <row r="522">
      <c r="A522" s="47"/>
    </row>
    <row r="523">
      <c r="A523" s="47"/>
    </row>
    <row r="524">
      <c r="A524" s="47"/>
    </row>
    <row r="525">
      <c r="A525" s="47"/>
    </row>
    <row r="526">
      <c r="A526" s="47"/>
    </row>
    <row r="527">
      <c r="A527" s="47"/>
    </row>
    <row r="528">
      <c r="A528" s="47"/>
    </row>
    <row r="529">
      <c r="A529" s="47"/>
    </row>
    <row r="530">
      <c r="A530" s="47"/>
    </row>
    <row r="531">
      <c r="A531" s="47"/>
    </row>
    <row r="532">
      <c r="A532" s="47"/>
    </row>
    <row r="533">
      <c r="A533" s="47"/>
    </row>
    <row r="534">
      <c r="A534" s="47"/>
    </row>
    <row r="535">
      <c r="A535" s="47"/>
    </row>
    <row r="536">
      <c r="A536" s="47"/>
    </row>
    <row r="537">
      <c r="A537" s="47"/>
    </row>
    <row r="538">
      <c r="A538" s="47"/>
    </row>
    <row r="539">
      <c r="A539" s="47"/>
    </row>
    <row r="540">
      <c r="A540" s="47"/>
    </row>
    <row r="541">
      <c r="A541" s="47"/>
    </row>
    <row r="542">
      <c r="A542" s="47"/>
    </row>
    <row r="543">
      <c r="A543" s="47"/>
    </row>
    <row r="544">
      <c r="A544" s="47"/>
    </row>
    <row r="545">
      <c r="A545" s="47"/>
    </row>
    <row r="546">
      <c r="A546" s="47"/>
    </row>
    <row r="547">
      <c r="A547" s="47"/>
    </row>
    <row r="548">
      <c r="A548" s="47"/>
    </row>
    <row r="549">
      <c r="A549" s="47"/>
    </row>
    <row r="550">
      <c r="A550" s="47"/>
    </row>
    <row r="551">
      <c r="A551" s="47"/>
    </row>
    <row r="552">
      <c r="A552" s="47"/>
    </row>
    <row r="553">
      <c r="A553" s="47"/>
    </row>
    <row r="554">
      <c r="A554" s="47"/>
    </row>
    <row r="555">
      <c r="A555" s="47"/>
    </row>
    <row r="556">
      <c r="A556" s="47"/>
    </row>
    <row r="557">
      <c r="A557" s="47"/>
    </row>
    <row r="558">
      <c r="A558" s="47"/>
    </row>
    <row r="559">
      <c r="A559" s="47"/>
    </row>
    <row r="560">
      <c r="A560" s="47"/>
    </row>
    <row r="561">
      <c r="A561" s="47"/>
    </row>
    <row r="562">
      <c r="A562" s="47"/>
    </row>
    <row r="563">
      <c r="A563" s="47"/>
    </row>
    <row r="564">
      <c r="A564" s="47"/>
    </row>
    <row r="565">
      <c r="A565" s="47"/>
    </row>
    <row r="566">
      <c r="A566" s="47"/>
    </row>
    <row r="567">
      <c r="A567" s="47"/>
    </row>
    <row r="568">
      <c r="A568" s="47"/>
    </row>
    <row r="569">
      <c r="A569" s="47"/>
    </row>
    <row r="570">
      <c r="A570" s="47"/>
    </row>
    <row r="571">
      <c r="A571" s="47"/>
    </row>
    <row r="572">
      <c r="A572" s="47"/>
    </row>
    <row r="573">
      <c r="A573" s="47"/>
    </row>
    <row r="574">
      <c r="A574" s="47"/>
    </row>
    <row r="575">
      <c r="A575" s="47"/>
    </row>
    <row r="576">
      <c r="A576" s="47"/>
    </row>
    <row r="577">
      <c r="A577" s="47"/>
    </row>
    <row r="578">
      <c r="A578" s="47"/>
    </row>
    <row r="579">
      <c r="A579" s="47"/>
    </row>
    <row r="580">
      <c r="A580" s="47"/>
    </row>
    <row r="581">
      <c r="A581" s="47"/>
    </row>
    <row r="582">
      <c r="A582" s="47"/>
    </row>
    <row r="583">
      <c r="A583" s="47"/>
    </row>
    <row r="584">
      <c r="A584" s="47"/>
    </row>
    <row r="585">
      <c r="A585" s="47"/>
    </row>
    <row r="586">
      <c r="A586" s="47"/>
    </row>
    <row r="587">
      <c r="A587" s="47"/>
    </row>
    <row r="588">
      <c r="A588" s="47"/>
    </row>
    <row r="589">
      <c r="A589" s="47"/>
    </row>
    <row r="590">
      <c r="A590" s="47"/>
    </row>
    <row r="591">
      <c r="A591" s="47"/>
    </row>
    <row r="592">
      <c r="A592" s="47"/>
    </row>
    <row r="593">
      <c r="A593" s="47"/>
    </row>
    <row r="594">
      <c r="A594" s="47"/>
    </row>
    <row r="595">
      <c r="A595" s="47"/>
    </row>
    <row r="596">
      <c r="A596" s="47"/>
    </row>
    <row r="597">
      <c r="A597" s="47"/>
    </row>
    <row r="598">
      <c r="A598" s="47"/>
    </row>
    <row r="599">
      <c r="A599" s="47"/>
    </row>
    <row r="600">
      <c r="A600" s="47"/>
    </row>
    <row r="601">
      <c r="A601" s="47"/>
    </row>
    <row r="602">
      <c r="A602" s="47"/>
    </row>
    <row r="603">
      <c r="A603" s="47"/>
    </row>
    <row r="604">
      <c r="A604" s="47"/>
    </row>
    <row r="605">
      <c r="A605" s="47"/>
    </row>
    <row r="606">
      <c r="A606" s="47"/>
    </row>
    <row r="607">
      <c r="A607" s="47"/>
    </row>
    <row r="608">
      <c r="A608" s="47"/>
    </row>
    <row r="609">
      <c r="A609" s="47"/>
    </row>
    <row r="610">
      <c r="A610" s="47"/>
    </row>
    <row r="611">
      <c r="A611" s="47"/>
    </row>
    <row r="612">
      <c r="A612" s="47"/>
    </row>
    <row r="613">
      <c r="A613" s="47"/>
    </row>
    <row r="614">
      <c r="A614" s="47"/>
    </row>
    <row r="615">
      <c r="A615" s="47"/>
    </row>
    <row r="616">
      <c r="A616" s="47"/>
    </row>
    <row r="617">
      <c r="A617" s="47"/>
    </row>
    <row r="618">
      <c r="A618" s="47"/>
    </row>
    <row r="619">
      <c r="A619" s="47"/>
    </row>
    <row r="620">
      <c r="A620" s="47"/>
    </row>
    <row r="621">
      <c r="A621" s="47"/>
    </row>
    <row r="622">
      <c r="A622" s="47"/>
    </row>
    <row r="623">
      <c r="A623" s="47"/>
    </row>
    <row r="624">
      <c r="A624" s="47"/>
    </row>
    <row r="625">
      <c r="A625" s="47"/>
    </row>
    <row r="626">
      <c r="A626" s="47"/>
    </row>
    <row r="627">
      <c r="A627" s="47"/>
    </row>
    <row r="628">
      <c r="A628" s="47"/>
    </row>
    <row r="629">
      <c r="A629" s="47"/>
    </row>
    <row r="630">
      <c r="A630" s="47"/>
    </row>
    <row r="631">
      <c r="A631" s="47"/>
    </row>
    <row r="632">
      <c r="A632" s="47"/>
    </row>
    <row r="633">
      <c r="A633" s="47"/>
    </row>
    <row r="634">
      <c r="A634" s="47"/>
    </row>
    <row r="635">
      <c r="A635" s="47"/>
    </row>
    <row r="636">
      <c r="A636" s="47"/>
    </row>
    <row r="637">
      <c r="A637" s="47"/>
    </row>
    <row r="638">
      <c r="A638" s="47"/>
    </row>
    <row r="639">
      <c r="A639" s="47"/>
    </row>
    <row r="640">
      <c r="A640" s="47"/>
    </row>
    <row r="641">
      <c r="A641" s="47"/>
    </row>
    <row r="642">
      <c r="A642" s="47"/>
    </row>
    <row r="643">
      <c r="A643" s="47"/>
    </row>
    <row r="644">
      <c r="A644" s="47"/>
    </row>
    <row r="645">
      <c r="A645" s="47"/>
    </row>
    <row r="646">
      <c r="A646" s="47"/>
    </row>
    <row r="647">
      <c r="A647" s="47"/>
    </row>
    <row r="648">
      <c r="A648" s="47"/>
    </row>
    <row r="649">
      <c r="A649" s="47"/>
    </row>
    <row r="650">
      <c r="A650" s="47"/>
    </row>
    <row r="651">
      <c r="A651" s="47"/>
    </row>
    <row r="652">
      <c r="A652" s="47"/>
    </row>
    <row r="653">
      <c r="A653" s="47"/>
    </row>
    <row r="654">
      <c r="A654" s="47"/>
    </row>
    <row r="655">
      <c r="A655" s="47"/>
    </row>
    <row r="656">
      <c r="A656" s="47"/>
    </row>
    <row r="657">
      <c r="A657" s="47"/>
    </row>
    <row r="658">
      <c r="A658" s="47"/>
    </row>
    <row r="659">
      <c r="A659" s="47"/>
    </row>
    <row r="660">
      <c r="A660" s="47"/>
    </row>
    <row r="661">
      <c r="A661" s="47"/>
    </row>
    <row r="662">
      <c r="A662" s="47"/>
    </row>
    <row r="663">
      <c r="A663" s="47"/>
    </row>
    <row r="664">
      <c r="A664" s="47"/>
    </row>
    <row r="665">
      <c r="A665" s="47"/>
    </row>
    <row r="666">
      <c r="A666" s="47"/>
    </row>
    <row r="667">
      <c r="A667" s="47"/>
    </row>
    <row r="668">
      <c r="A668" s="47"/>
    </row>
    <row r="669">
      <c r="A669" s="47"/>
    </row>
    <row r="670">
      <c r="A670" s="47"/>
    </row>
    <row r="671">
      <c r="A671" s="47"/>
    </row>
    <row r="672">
      <c r="A672" s="47"/>
    </row>
    <row r="673">
      <c r="A673" s="47"/>
    </row>
    <row r="674">
      <c r="A674" s="47"/>
    </row>
    <row r="675">
      <c r="A675" s="47"/>
    </row>
    <row r="676">
      <c r="A676" s="47"/>
    </row>
    <row r="677">
      <c r="A677" s="47"/>
    </row>
    <row r="678">
      <c r="A678" s="47"/>
    </row>
    <row r="679">
      <c r="A679" s="47"/>
    </row>
    <row r="680">
      <c r="A680" s="47"/>
    </row>
    <row r="681">
      <c r="A681" s="47"/>
    </row>
    <row r="682">
      <c r="A682" s="47"/>
    </row>
    <row r="683">
      <c r="A683" s="47"/>
    </row>
    <row r="684">
      <c r="A684" s="47"/>
    </row>
    <row r="685">
      <c r="A685" s="47"/>
    </row>
    <row r="686">
      <c r="A686" s="47"/>
    </row>
    <row r="687">
      <c r="A687" s="47"/>
    </row>
    <row r="688">
      <c r="A688" s="47"/>
    </row>
    <row r="689">
      <c r="A689" s="47"/>
    </row>
    <row r="690">
      <c r="A690" s="47"/>
    </row>
    <row r="691">
      <c r="A691" s="47"/>
    </row>
    <row r="692">
      <c r="A692" s="47"/>
    </row>
    <row r="693">
      <c r="A693" s="47"/>
    </row>
    <row r="694">
      <c r="A694" s="47"/>
    </row>
    <row r="695">
      <c r="A695" s="47"/>
    </row>
    <row r="696">
      <c r="A696" s="47"/>
    </row>
    <row r="697">
      <c r="A697" s="47"/>
    </row>
    <row r="698">
      <c r="A698" s="47"/>
    </row>
    <row r="699">
      <c r="A699" s="47"/>
    </row>
    <row r="700">
      <c r="A700" s="47"/>
    </row>
    <row r="701">
      <c r="A701" s="47"/>
    </row>
    <row r="702">
      <c r="A702" s="47"/>
    </row>
    <row r="703">
      <c r="A703" s="47"/>
    </row>
    <row r="704">
      <c r="A704" s="47"/>
    </row>
    <row r="705">
      <c r="A705" s="47"/>
    </row>
    <row r="706">
      <c r="A706" s="47"/>
    </row>
    <row r="707">
      <c r="A707" s="47"/>
    </row>
    <row r="708">
      <c r="A708" s="47"/>
    </row>
    <row r="709">
      <c r="A709" s="47"/>
    </row>
    <row r="710">
      <c r="A710" s="47"/>
    </row>
    <row r="711">
      <c r="A711" s="47"/>
    </row>
    <row r="712">
      <c r="A712" s="47"/>
    </row>
    <row r="713">
      <c r="A713" s="47"/>
    </row>
    <row r="714">
      <c r="A714" s="47"/>
    </row>
    <row r="715">
      <c r="A715" s="47"/>
    </row>
    <row r="716">
      <c r="A716" s="47"/>
    </row>
    <row r="717">
      <c r="A717" s="47"/>
    </row>
    <row r="718">
      <c r="A718" s="47"/>
    </row>
    <row r="719">
      <c r="A719" s="47"/>
    </row>
    <row r="720">
      <c r="A720" s="47"/>
    </row>
    <row r="721">
      <c r="A721" s="47"/>
    </row>
    <row r="722">
      <c r="A722" s="47"/>
    </row>
    <row r="723">
      <c r="A723" s="47"/>
    </row>
    <row r="724">
      <c r="A724" s="47"/>
    </row>
    <row r="725">
      <c r="A725" s="47"/>
    </row>
    <row r="726">
      <c r="A726" s="47"/>
    </row>
    <row r="727">
      <c r="A727" s="47"/>
    </row>
    <row r="728">
      <c r="A728" s="47"/>
    </row>
    <row r="729">
      <c r="A729" s="47"/>
    </row>
    <row r="730">
      <c r="A730" s="47"/>
    </row>
    <row r="731">
      <c r="A731" s="47"/>
    </row>
    <row r="732">
      <c r="A732" s="47"/>
    </row>
    <row r="733">
      <c r="A733" s="47"/>
    </row>
    <row r="734">
      <c r="A734" s="47"/>
    </row>
    <row r="735">
      <c r="A735" s="47"/>
    </row>
    <row r="736">
      <c r="A736" s="47"/>
    </row>
    <row r="737">
      <c r="A737" s="47"/>
    </row>
    <row r="738">
      <c r="A738" s="47"/>
    </row>
    <row r="739">
      <c r="A739" s="47"/>
    </row>
    <row r="740">
      <c r="A740" s="47"/>
    </row>
    <row r="741">
      <c r="A741" s="47"/>
    </row>
    <row r="742">
      <c r="A742" s="47"/>
    </row>
    <row r="743">
      <c r="A743" s="47"/>
    </row>
    <row r="744">
      <c r="A744" s="47"/>
    </row>
    <row r="745">
      <c r="A745" s="47"/>
    </row>
    <row r="746">
      <c r="A746" s="47"/>
    </row>
    <row r="747">
      <c r="A747" s="47"/>
    </row>
    <row r="748">
      <c r="A748" s="47"/>
    </row>
    <row r="749">
      <c r="A749" s="47"/>
    </row>
    <row r="750">
      <c r="A750" s="47"/>
    </row>
    <row r="751">
      <c r="A751" s="47"/>
    </row>
    <row r="752">
      <c r="A752" s="47"/>
    </row>
    <row r="753">
      <c r="A753" s="47"/>
    </row>
    <row r="754">
      <c r="A754" s="47"/>
    </row>
    <row r="755">
      <c r="A755" s="47"/>
    </row>
    <row r="756">
      <c r="A756" s="47"/>
    </row>
    <row r="757">
      <c r="A757" s="47"/>
    </row>
    <row r="758">
      <c r="A758" s="47"/>
    </row>
    <row r="759">
      <c r="A759" s="47"/>
    </row>
    <row r="760">
      <c r="A760" s="47"/>
    </row>
    <row r="761">
      <c r="A761" s="47"/>
    </row>
    <row r="762">
      <c r="A762" s="47"/>
    </row>
    <row r="763">
      <c r="A763" s="47"/>
    </row>
    <row r="764">
      <c r="A764" s="47"/>
    </row>
    <row r="765">
      <c r="A765" s="47"/>
    </row>
    <row r="766">
      <c r="A766" s="47"/>
    </row>
    <row r="767">
      <c r="A767" s="47"/>
    </row>
    <row r="768">
      <c r="A768" s="47"/>
    </row>
    <row r="769">
      <c r="A769" s="47"/>
    </row>
    <row r="770">
      <c r="A770" s="47"/>
    </row>
    <row r="771">
      <c r="A771" s="47"/>
    </row>
    <row r="772">
      <c r="A772" s="47"/>
    </row>
    <row r="773">
      <c r="A773" s="47"/>
    </row>
    <row r="774">
      <c r="A774" s="47"/>
    </row>
    <row r="775">
      <c r="A775" s="47"/>
    </row>
    <row r="776">
      <c r="A776" s="47"/>
    </row>
    <row r="777">
      <c r="A777" s="47"/>
    </row>
    <row r="778">
      <c r="A778" s="47"/>
    </row>
    <row r="779">
      <c r="A779" s="47"/>
    </row>
    <row r="780">
      <c r="A780" s="47"/>
    </row>
    <row r="781">
      <c r="A781" s="47"/>
    </row>
    <row r="782">
      <c r="A782" s="47"/>
    </row>
    <row r="783">
      <c r="A783" s="47"/>
    </row>
    <row r="784">
      <c r="A784" s="47"/>
    </row>
    <row r="785">
      <c r="A785" s="47"/>
    </row>
    <row r="786">
      <c r="A786" s="47"/>
    </row>
    <row r="787">
      <c r="A787" s="47"/>
    </row>
    <row r="788">
      <c r="A788" s="47"/>
    </row>
    <row r="789">
      <c r="A789" s="47"/>
    </row>
    <row r="790">
      <c r="A790" s="47"/>
    </row>
    <row r="791">
      <c r="A791" s="47"/>
    </row>
    <row r="792">
      <c r="A792" s="47"/>
    </row>
    <row r="793">
      <c r="A793" s="47"/>
    </row>
    <row r="794">
      <c r="A794" s="47"/>
    </row>
    <row r="795">
      <c r="A795" s="47"/>
    </row>
    <row r="796">
      <c r="A796" s="47"/>
    </row>
    <row r="797">
      <c r="A797" s="47"/>
    </row>
    <row r="798">
      <c r="A798" s="47"/>
    </row>
    <row r="799">
      <c r="A799" s="47"/>
    </row>
    <row r="800">
      <c r="A800" s="47"/>
    </row>
    <row r="801">
      <c r="A801" s="47"/>
    </row>
    <row r="802">
      <c r="A802" s="47"/>
    </row>
    <row r="803">
      <c r="A803" s="47"/>
    </row>
    <row r="804">
      <c r="A804" s="47"/>
    </row>
    <row r="805">
      <c r="A805" s="47"/>
    </row>
    <row r="806">
      <c r="A806" s="47"/>
    </row>
    <row r="807">
      <c r="A807" s="47"/>
    </row>
    <row r="808">
      <c r="A808" s="47"/>
    </row>
    <row r="809">
      <c r="A809" s="47"/>
    </row>
    <row r="810">
      <c r="A810" s="47"/>
    </row>
    <row r="811">
      <c r="A811" s="47"/>
    </row>
    <row r="812">
      <c r="A812" s="47"/>
    </row>
    <row r="813">
      <c r="A813" s="47"/>
    </row>
    <row r="814">
      <c r="A814" s="47"/>
    </row>
    <row r="815">
      <c r="A815" s="47"/>
    </row>
    <row r="816">
      <c r="A816" s="47"/>
    </row>
    <row r="817">
      <c r="A817" s="47"/>
    </row>
    <row r="818">
      <c r="A818" s="47"/>
    </row>
    <row r="819">
      <c r="A819" s="47"/>
    </row>
    <row r="820">
      <c r="A820" s="47"/>
    </row>
    <row r="821">
      <c r="A821" s="47"/>
    </row>
    <row r="822">
      <c r="A822" s="47"/>
    </row>
    <row r="823">
      <c r="A823" s="47"/>
    </row>
    <row r="824">
      <c r="A824" s="47"/>
    </row>
    <row r="825">
      <c r="A825" s="47"/>
    </row>
    <row r="826">
      <c r="A826" s="47"/>
    </row>
    <row r="827">
      <c r="A827" s="47"/>
    </row>
    <row r="828">
      <c r="A828" s="47"/>
    </row>
    <row r="829">
      <c r="A829" s="47"/>
    </row>
    <row r="830">
      <c r="A830" s="47"/>
    </row>
    <row r="831">
      <c r="A831" s="47"/>
    </row>
    <row r="832">
      <c r="A832" s="47"/>
    </row>
    <row r="833">
      <c r="A833" s="47"/>
    </row>
    <row r="834">
      <c r="A834" s="47"/>
    </row>
    <row r="835">
      <c r="A835" s="47"/>
    </row>
    <row r="836">
      <c r="A836" s="47"/>
    </row>
    <row r="837">
      <c r="A837" s="47"/>
    </row>
    <row r="838">
      <c r="A838" s="47"/>
    </row>
    <row r="839">
      <c r="A839" s="47"/>
    </row>
    <row r="840">
      <c r="A840" s="47"/>
    </row>
    <row r="841">
      <c r="A841" s="47"/>
    </row>
    <row r="842">
      <c r="A842" s="47"/>
    </row>
    <row r="843">
      <c r="A843" s="47"/>
    </row>
    <row r="844">
      <c r="A844" s="47"/>
    </row>
    <row r="845">
      <c r="A845" s="47"/>
    </row>
    <row r="846">
      <c r="A846" s="47"/>
    </row>
    <row r="847">
      <c r="A847" s="47"/>
    </row>
    <row r="848">
      <c r="A848" s="47"/>
    </row>
    <row r="849">
      <c r="A849" s="47"/>
    </row>
    <row r="850">
      <c r="A850" s="47"/>
    </row>
    <row r="851">
      <c r="A851" s="47"/>
    </row>
    <row r="852">
      <c r="A852" s="47"/>
    </row>
    <row r="853">
      <c r="A853" s="47"/>
    </row>
    <row r="854">
      <c r="A854" s="47"/>
    </row>
    <row r="855">
      <c r="A855" s="47"/>
    </row>
    <row r="856">
      <c r="A856" s="47"/>
    </row>
    <row r="857">
      <c r="A857" s="47"/>
    </row>
    <row r="858">
      <c r="A858" s="47"/>
    </row>
    <row r="859">
      <c r="A859" s="47"/>
    </row>
    <row r="860">
      <c r="A860" s="47"/>
    </row>
    <row r="861">
      <c r="A861" s="47"/>
    </row>
    <row r="862">
      <c r="A862" s="47"/>
    </row>
    <row r="863">
      <c r="A863" s="47"/>
    </row>
    <row r="864">
      <c r="A864" s="47"/>
    </row>
    <row r="865">
      <c r="A865" s="47"/>
    </row>
    <row r="866">
      <c r="A866" s="47"/>
    </row>
    <row r="867">
      <c r="A867" s="47"/>
    </row>
    <row r="868">
      <c r="A868" s="47"/>
    </row>
    <row r="869">
      <c r="A869" s="47"/>
    </row>
    <row r="870">
      <c r="A870" s="47"/>
    </row>
    <row r="871">
      <c r="A871" s="47"/>
    </row>
    <row r="872">
      <c r="A872" s="47"/>
    </row>
    <row r="873">
      <c r="A873" s="47"/>
    </row>
    <row r="874">
      <c r="A874" s="47"/>
    </row>
    <row r="875">
      <c r="A875" s="47"/>
    </row>
    <row r="876">
      <c r="A876" s="47"/>
    </row>
    <row r="877">
      <c r="A877" s="47"/>
    </row>
    <row r="878">
      <c r="A878" s="47"/>
    </row>
    <row r="879">
      <c r="A879" s="47"/>
    </row>
    <row r="880">
      <c r="A880" s="47"/>
    </row>
    <row r="881">
      <c r="A881" s="47"/>
    </row>
    <row r="882">
      <c r="A882" s="47"/>
    </row>
    <row r="883">
      <c r="A883" s="47"/>
    </row>
    <row r="884">
      <c r="A884" s="47"/>
    </row>
    <row r="885">
      <c r="A885" s="47"/>
    </row>
    <row r="886">
      <c r="A886" s="47"/>
    </row>
    <row r="887">
      <c r="A887" s="47"/>
    </row>
    <row r="888">
      <c r="A888" s="47"/>
    </row>
    <row r="889">
      <c r="A889" s="47"/>
    </row>
    <row r="890">
      <c r="A890" s="47"/>
    </row>
    <row r="891">
      <c r="A891" s="47"/>
    </row>
    <row r="892">
      <c r="A892" s="47"/>
    </row>
    <row r="893">
      <c r="A893" s="47"/>
    </row>
    <row r="894">
      <c r="A894" s="47"/>
    </row>
    <row r="895">
      <c r="A895" s="47"/>
    </row>
  </sheetData>
  <conditionalFormatting sqref="F1:F895">
    <cfRule type="cellIs" dxfId="5" priority="1" operator="equal">
      <formula>"No Iniciado"</formula>
    </cfRule>
  </conditionalFormatting>
  <conditionalFormatting sqref="F1:F895">
    <cfRule type="cellIs" dxfId="6" priority="2" operator="equal">
      <formula>"Completado"</formula>
    </cfRule>
  </conditionalFormatting>
  <conditionalFormatting sqref="F1:F895">
    <cfRule type="cellIs" dxfId="7" priority="3" operator="equal">
      <formula>"En Pausa"</formula>
    </cfRule>
  </conditionalFormatting>
  <conditionalFormatting sqref="F1:F895">
    <cfRule type="cellIs" dxfId="8" priority="4" operator="equal">
      <formula>"en proceso"</formula>
    </cfRule>
  </conditionalFormatting>
  <conditionalFormatting sqref="F1:F895">
    <cfRule type="cellIs" dxfId="9" priority="5" operator="equal">
      <formula>"compleato"</formula>
    </cfRule>
  </conditionalFormatting>
  <conditionalFormatting sqref="G1:G895">
    <cfRule type="cellIs" dxfId="6" priority="6" operator="equal">
      <formula>"Entregable nivel 2"</formula>
    </cfRule>
  </conditionalFormatting>
  <conditionalFormatting sqref="G1:G895">
    <cfRule type="cellIs" dxfId="5" priority="7" operator="equal">
      <formula>"tarea nivel 3"</formula>
    </cfRule>
  </conditionalFormatting>
  <conditionalFormatting sqref="G1:G895">
    <cfRule type="endsWith" dxfId="10" priority="8" operator="endsWith" text="Hito">
      <formula>RIGHT((G1),LEN("Hito"))=("Hito")</formula>
    </cfRule>
  </conditionalFormatting>
  <conditionalFormatting sqref="A2:E138">
    <cfRule type="expression" dxfId="10" priority="9">
      <formula>$G2="Hito"</formula>
    </cfRule>
  </conditionalFormatting>
  <conditionalFormatting sqref="F1:F895">
    <cfRule type="cellIs" dxfId="11" priority="10" operator="equal">
      <formula>"No completado"</formula>
    </cfRule>
  </conditionalFormatting>
  <conditionalFormatting sqref="F1:F895">
    <cfRule type="cellIs" dxfId="12" priority="11" operator="equal">
      <formula>"Retrasado"</formula>
    </cfRule>
  </conditionalFormatting>
  <conditionalFormatting sqref="B2:E138">
    <cfRule type="expression" dxfId="6" priority="12">
      <formula>$G2="Entregable Nivel 2"</formula>
    </cfRule>
  </conditionalFormatting>
  <conditionalFormatting sqref="A2:A138">
    <cfRule type="expression" dxfId="6" priority="13">
      <formula>$G2="Entregable Nivel 2"</formula>
    </cfRule>
  </conditionalFormatting>
  <dataValidations>
    <dataValidation type="list" allowBlank="1" showErrorMessage="1" sqref="I2">
      <formula1>"Completado,No iniciado,En pausa,En proceso"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